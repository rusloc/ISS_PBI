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Desktop/COMS/"/>
    </mc:Choice>
  </mc:AlternateContent>
  <xr:revisionPtr revIDLastSave="8" documentId="13_ncr:1_{C06F8706-2D4D-4EC5-933D-6CAB1D3A6AFF}" xr6:coauthVersionLast="47" xr6:coauthVersionMax="47" xr10:uidLastSave="{A59E95DE-D142-4441-8ACC-C234E8845889}"/>
  <bookViews>
    <workbookView xWindow="-110" yWindow="-110" windowWidth="19420" windowHeight="11500" xr2:uid="{9C1D1742-398D-4079-8DAD-EFD9F2F49A78}"/>
  </bookViews>
  <sheets>
    <sheet name="Tracker" sheetId="2" r:id="rId1"/>
    <sheet name="ChargeServiceMapping-Origin" sheetId="7" r:id="rId2"/>
    <sheet name="ChargeServiceMapping-Destinatio" sheetId="8" r:id="rId3"/>
    <sheet name="ChargeServiceMapping-Freight" sheetId="9" r:id="rId4"/>
    <sheet name="ChargeServiceMapping-Ancillary" sheetId="10" r:id="rId5"/>
    <sheet name="Sheet1" sheetId="6" r:id="rId6"/>
    <sheet name="SupplierLeadTimeMaster" sheetId="4" r:id="rId7"/>
    <sheet name="CountryTransitTimeMaster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9" i="2" l="1"/>
  <c r="BI11" i="2" a="1"/>
  <c r="BI11" i="2"/>
  <c r="BA11" i="2"/>
  <c r="BB11" i="2" a="1"/>
  <c r="BB11" i="2" s="1"/>
  <c r="BD11" i="2" a="1"/>
  <c r="BD11" i="2" s="1"/>
  <c r="BE11" i="2" a="1"/>
  <c r="BE11" i="2" s="1"/>
  <c r="BG11" i="2" a="1"/>
  <c r="BG11" i="2" s="1"/>
  <c r="BK11" i="2" a="1"/>
  <c r="BK11" i="2"/>
  <c r="BL11" i="2" a="1"/>
  <c r="BL11" i="2"/>
  <c r="BM11" i="2"/>
  <c r="BN11" i="2"/>
  <c r="BC11" i="2" s="1"/>
  <c r="BO11" i="2"/>
  <c r="BP11" i="2" a="1"/>
  <c r="BP11" i="2" s="1"/>
  <c r="BF11" i="2" s="1"/>
  <c r="BQ11" i="2"/>
  <c r="BR11" i="2"/>
  <c r="BS11" i="2"/>
  <c r="BY11" i="2"/>
  <c r="BZ11" i="2" s="1"/>
  <c r="CD11" i="2"/>
  <c r="CF11" i="2"/>
  <c r="CJ11" i="2" s="1" a="1"/>
  <c r="CJ11" i="2" s="1"/>
  <c r="CM11" i="2"/>
  <c r="CU11" i="2"/>
  <c r="CV11" i="2"/>
  <c r="CW11" i="2"/>
  <c r="CX11" i="2"/>
  <c r="CY11" i="2" a="1"/>
  <c r="CY11" i="2" s="1"/>
  <c r="CZ11" i="2"/>
  <c r="DA11" i="2"/>
  <c r="DB11" i="2"/>
  <c r="DC11" i="2"/>
  <c r="DD11" i="2" a="1"/>
  <c r="DD11" i="2" s="1"/>
  <c r="DE11" i="2"/>
  <c r="BA10" i="2"/>
  <c r="BB10" i="2" a="1"/>
  <c r="BB10" i="2" s="1"/>
  <c r="BD10" i="2" a="1"/>
  <c r="BD10" i="2" s="1"/>
  <c r="BE10" i="2" a="1"/>
  <c r="BE10" i="2" s="1"/>
  <c r="BG10" i="2" a="1"/>
  <c r="BG10" i="2" s="1"/>
  <c r="BK10" i="2" a="1"/>
  <c r="BK10" i="2"/>
  <c r="BL10" i="2" a="1"/>
  <c r="BL10" i="2"/>
  <c r="BM10" i="2"/>
  <c r="BN10" i="2"/>
  <c r="BC10" i="2" s="1"/>
  <c r="BO10" i="2"/>
  <c r="BP10" i="2" a="1"/>
  <c r="BP10" i="2" s="1"/>
  <c r="BF10" i="2" s="1"/>
  <c r="BQ10" i="2"/>
  <c r="BR10" i="2"/>
  <c r="BS10" i="2"/>
  <c r="BY10" i="2"/>
  <c r="BZ10" i="2" s="1"/>
  <c r="CD10" i="2"/>
  <c r="CF10" i="2"/>
  <c r="CJ10" i="2" s="1" a="1"/>
  <c r="CJ10" i="2" s="1"/>
  <c r="CM10" i="2"/>
  <c r="CU10" i="2"/>
  <c r="CV10" i="2"/>
  <c r="CW10" i="2"/>
  <c r="CX10" i="2"/>
  <c r="CY10" i="2" a="1"/>
  <c r="CY10" i="2" s="1"/>
  <c r="CZ10" i="2"/>
  <c r="DA10" i="2"/>
  <c r="DB10" i="2"/>
  <c r="DC10" i="2"/>
  <c r="DD10" i="2" a="1"/>
  <c r="DD10" i="2" s="1"/>
  <c r="DE10" i="2"/>
  <c r="CF9" i="2"/>
  <c r="CJ9" i="2" a="1"/>
  <c r="CJ9" i="2" s="1"/>
  <c r="BL2" i="2" a="1"/>
  <c r="BL2" i="2" s="1"/>
  <c r="BL3" i="2" a="1"/>
  <c r="BL3" i="2" s="1"/>
  <c r="BL4" i="2" a="1"/>
  <c r="BL4" i="2"/>
  <c r="BL5" i="2" a="1"/>
  <c r="BL5" i="2" s="1"/>
  <c r="BL6" i="2" a="1"/>
  <c r="BL6" i="2" s="1"/>
  <c r="BL7" i="2" a="1"/>
  <c r="BL7" i="2" s="1"/>
  <c r="BL8" i="2" a="1"/>
  <c r="BL8" i="2" s="1"/>
  <c r="BL9" i="2" a="1"/>
  <c r="BL9" i="2" s="1"/>
  <c r="F1" i="6"/>
  <c r="BE9" i="2" a="1"/>
  <c r="BE9" i="2" s="1"/>
  <c r="BA9" i="2"/>
  <c r="BB9" i="2" a="1"/>
  <c r="BB9" i="2" s="1"/>
  <c r="BD9" i="2" a="1"/>
  <c r="BD9" i="2" s="1"/>
  <c r="BG9" i="2" a="1"/>
  <c r="BG9" i="2" s="1"/>
  <c r="BK9" i="2" a="1"/>
  <c r="BK9" i="2" s="1"/>
  <c r="BM9" i="2"/>
  <c r="BN9" i="2"/>
  <c r="BC9" i="2" s="1"/>
  <c r="BO9" i="2"/>
  <c r="BP9" i="2" a="1"/>
  <c r="BP9" i="2"/>
  <c r="BQ9" i="2"/>
  <c r="BR9" i="2"/>
  <c r="BS9" i="2"/>
  <c r="BY9" i="2"/>
  <c r="BZ9" i="2" s="1"/>
  <c r="CD9" i="2"/>
  <c r="CM9" i="2"/>
  <c r="CU9" i="2"/>
  <c r="CV9" i="2"/>
  <c r="CW9" i="2"/>
  <c r="CX9" i="2"/>
  <c r="CY9" i="2" a="1"/>
  <c r="CY9" i="2" s="1"/>
  <c r="CZ9" i="2"/>
  <c r="DA9" i="2"/>
  <c r="DB9" i="2"/>
  <c r="DC9" i="2"/>
  <c r="DD9" i="2" a="1"/>
  <c r="DD9" i="2" s="1"/>
  <c r="DE9" i="2"/>
  <c r="BA2" i="2"/>
  <c r="BB2" i="2" a="1"/>
  <c r="BB2" i="2"/>
  <c r="BD2" i="2" a="1"/>
  <c r="BD2" i="2" s="1"/>
  <c r="BE2" i="2" a="1"/>
  <c r="BE2" i="2" s="1"/>
  <c r="BG2" i="2" a="1"/>
  <c r="BG2" i="2" s="1"/>
  <c r="BK2" i="2" a="1"/>
  <c r="BK2" i="2" s="1"/>
  <c r="BM2" i="2"/>
  <c r="BN2" i="2"/>
  <c r="BC2" i="2" s="1"/>
  <c r="BO2" i="2"/>
  <c r="BP2" i="2" a="1"/>
  <c r="BP2" i="2" s="1"/>
  <c r="BF2" i="2" s="1"/>
  <c r="BQ2" i="2"/>
  <c r="BR2" i="2"/>
  <c r="BS2" i="2"/>
  <c r="BY2" i="2"/>
  <c r="BZ2" i="2" s="1"/>
  <c r="CD2" i="2"/>
  <c r="CF2" i="2"/>
  <c r="CJ2" i="2" s="1" a="1"/>
  <c r="CJ2" i="2" s="1"/>
  <c r="CM2" i="2"/>
  <c r="CU2" i="2"/>
  <c r="CV2" i="2"/>
  <c r="CW2" i="2"/>
  <c r="CX2" i="2"/>
  <c r="CY2" i="2" a="1"/>
  <c r="CY2" i="2" s="1"/>
  <c r="CZ2" i="2"/>
  <c r="DA2" i="2"/>
  <c r="DB2" i="2"/>
  <c r="DC2" i="2"/>
  <c r="DD2" i="2" a="1"/>
  <c r="DD2" i="2" s="1"/>
  <c r="DE2" i="2"/>
  <c r="BA8" i="2"/>
  <c r="BB8" i="2" a="1"/>
  <c r="BB8" i="2" s="1"/>
  <c r="BD8" i="2" a="1"/>
  <c r="BD8" i="2" s="1"/>
  <c r="BE8" i="2" a="1"/>
  <c r="BE8" i="2" s="1"/>
  <c r="BG8" i="2" a="1"/>
  <c r="BG8" i="2" s="1"/>
  <c r="BK8" i="2" a="1"/>
  <c r="BK8" i="2" s="1"/>
  <c r="BM8" i="2"/>
  <c r="BN8" i="2"/>
  <c r="BC8" i="2" s="1"/>
  <c r="BO8" i="2"/>
  <c r="BP8" i="2" a="1"/>
  <c r="BP8" i="2" s="1"/>
  <c r="BF8" i="2" s="1"/>
  <c r="BQ8" i="2"/>
  <c r="BR8" i="2"/>
  <c r="BS8" i="2"/>
  <c r="BY8" i="2"/>
  <c r="BZ8" i="2" s="1"/>
  <c r="CD8" i="2"/>
  <c r="CF8" i="2"/>
  <c r="CJ8" i="2" s="1" a="1"/>
  <c r="CJ8" i="2" s="1"/>
  <c r="CM8" i="2"/>
  <c r="CU8" i="2"/>
  <c r="CV8" i="2"/>
  <c r="CW8" i="2"/>
  <c r="CX8" i="2"/>
  <c r="CY8" i="2" a="1"/>
  <c r="CY8" i="2" s="1"/>
  <c r="CZ8" i="2"/>
  <c r="DA8" i="2"/>
  <c r="DB8" i="2"/>
  <c r="DC8" i="2"/>
  <c r="DD8" i="2" a="1"/>
  <c r="DD8" i="2" s="1"/>
  <c r="DE8" i="2"/>
  <c r="BD3" i="2" a="1"/>
  <c r="BD3" i="2" s="1"/>
  <c r="BD4" i="2" a="1"/>
  <c r="BD4" i="2" s="1"/>
  <c r="BD5" i="2" a="1"/>
  <c r="BD5" i="2" s="1"/>
  <c r="BD6" i="2" a="1"/>
  <c r="BD6" i="2" s="1"/>
  <c r="BD7" i="2" a="1"/>
  <c r="BD7" i="2" s="1"/>
  <c r="BG3" i="2" a="1"/>
  <c r="BG3" i="2" s="1"/>
  <c r="BG4" i="2" a="1"/>
  <c r="BG4" i="2" s="1"/>
  <c r="BG5" i="2" a="1"/>
  <c r="BG5" i="2" s="1"/>
  <c r="BG6" i="2" a="1"/>
  <c r="BG6" i="2" s="1"/>
  <c r="BG7" i="2" a="1"/>
  <c r="BG7" i="2" s="1"/>
  <c r="BB3" i="2" a="1"/>
  <c r="BB3" i="2" s="1"/>
  <c r="C1" i="6"/>
  <c r="E1" i="6" s="1"/>
  <c r="BB4" i="2" a="1"/>
  <c r="BB4" i="2" s="1"/>
  <c r="BB5" i="2" a="1"/>
  <c r="BB5" i="2" s="1"/>
  <c r="BB6" i="2" a="1"/>
  <c r="BB6" i="2" s="1"/>
  <c r="BB7" i="2" a="1"/>
  <c r="BB7" i="2" s="1"/>
  <c r="BA7" i="2"/>
  <c r="BE7" i="2" a="1"/>
  <c r="BE7" i="2" s="1"/>
  <c r="BK7" i="2" a="1"/>
  <c r="BK7" i="2" s="1"/>
  <c r="BM7" i="2"/>
  <c r="BN7" i="2"/>
  <c r="BC7" i="2" s="1"/>
  <c r="BO7" i="2"/>
  <c r="BP7" i="2" a="1"/>
  <c r="BP7" i="2" s="1"/>
  <c r="BF7" i="2" s="1"/>
  <c r="BQ7" i="2"/>
  <c r="BR7" i="2"/>
  <c r="BS7" i="2"/>
  <c r="BY7" i="2"/>
  <c r="BZ7" i="2"/>
  <c r="CD7" i="2"/>
  <c r="CF7" i="2"/>
  <c r="CJ7" i="2" a="1"/>
  <c r="CJ7" i="2" s="1"/>
  <c r="CM7" i="2"/>
  <c r="CU7" i="2"/>
  <c r="CV7" i="2"/>
  <c r="CW7" i="2"/>
  <c r="CX7" i="2"/>
  <c r="CY7" i="2" a="1"/>
  <c r="CY7" i="2" s="1"/>
  <c r="CZ7" i="2"/>
  <c r="DA7" i="2"/>
  <c r="DB7" i="2"/>
  <c r="DC7" i="2"/>
  <c r="DD7" i="2" a="1"/>
  <c r="DD7" i="2" s="1"/>
  <c r="DE7" i="2"/>
  <c r="BA6" i="2"/>
  <c r="BE6" i="2" a="1"/>
  <c r="BE6" i="2" s="1"/>
  <c r="BK6" i="2" a="1"/>
  <c r="BK6" i="2" s="1"/>
  <c r="BM6" i="2"/>
  <c r="BN6" i="2"/>
  <c r="BC6" i="2" s="1"/>
  <c r="BO6" i="2"/>
  <c r="BP6" i="2" a="1"/>
  <c r="BP6" i="2" s="1"/>
  <c r="BF6" i="2" s="1"/>
  <c r="BQ6" i="2"/>
  <c r="BR6" i="2"/>
  <c r="BS6" i="2"/>
  <c r="BY6" i="2"/>
  <c r="BZ6" i="2" s="1"/>
  <c r="CD6" i="2"/>
  <c r="CF6" i="2"/>
  <c r="CJ6" i="2" a="1"/>
  <c r="CJ6" i="2" s="1"/>
  <c r="CM6" i="2"/>
  <c r="CU6" i="2"/>
  <c r="CV6" i="2"/>
  <c r="CW6" i="2"/>
  <c r="CX6" i="2"/>
  <c r="CY6" i="2" a="1"/>
  <c r="CY6" i="2" s="1"/>
  <c r="CZ6" i="2"/>
  <c r="DA6" i="2"/>
  <c r="DB6" i="2"/>
  <c r="DC6" i="2"/>
  <c r="DD6" i="2" a="1"/>
  <c r="DD6" i="2" s="1"/>
  <c r="DE6" i="2"/>
  <c r="BA5" i="2"/>
  <c r="BE5" i="2" a="1"/>
  <c r="BE5" i="2" s="1"/>
  <c r="BK5" i="2" a="1"/>
  <c r="BK5" i="2" s="1"/>
  <c r="BM5" i="2"/>
  <c r="BN5" i="2"/>
  <c r="BC5" i="2" s="1"/>
  <c r="BO5" i="2"/>
  <c r="BP5" i="2" a="1"/>
  <c r="BP5" i="2" s="1"/>
  <c r="BF5" i="2" s="1"/>
  <c r="BQ5" i="2"/>
  <c r="BR5" i="2"/>
  <c r="BS5" i="2"/>
  <c r="BY5" i="2"/>
  <c r="BZ5" i="2" s="1"/>
  <c r="CD5" i="2"/>
  <c r="CF5" i="2"/>
  <c r="CJ5" i="2" s="1" a="1"/>
  <c r="CJ5" i="2" s="1"/>
  <c r="CM5" i="2"/>
  <c r="CU5" i="2"/>
  <c r="CV5" i="2"/>
  <c r="CW5" i="2"/>
  <c r="CX5" i="2"/>
  <c r="CY5" i="2" a="1"/>
  <c r="CY5" i="2" s="1"/>
  <c r="CZ5" i="2"/>
  <c r="DA5" i="2"/>
  <c r="DB5" i="2"/>
  <c r="DC5" i="2"/>
  <c r="DD5" i="2" a="1"/>
  <c r="DD5" i="2" s="1"/>
  <c r="DE5" i="2"/>
  <c r="BH11" i="2" l="1"/>
  <c r="BJ11" i="2" s="1" a="1"/>
  <c r="BJ11" i="2" s="1"/>
  <c r="DF11" i="2"/>
  <c r="BH10" i="2"/>
  <c r="BI10" i="2" s="1" a="1"/>
  <c r="BI10" i="2" s="1"/>
  <c r="BJ10" i="2" s="1" a="1"/>
  <c r="BJ10" i="2" s="1"/>
  <c r="BF9" i="2"/>
  <c r="DF10" i="2"/>
  <c r="DF9" i="2"/>
  <c r="DF2" i="2"/>
  <c r="BH2" i="2"/>
  <c r="BI2" i="2" s="1" a="1"/>
  <c r="BI2" i="2" s="1"/>
  <c r="BJ2" i="2" s="1" a="1"/>
  <c r="BJ2" i="2" s="1"/>
  <c r="DF8" i="2"/>
  <c r="BH8" i="2"/>
  <c r="BI8" i="2" s="1" a="1"/>
  <c r="BI8" i="2" s="1"/>
  <c r="BJ8" i="2" s="1" a="1"/>
  <c r="BJ8" i="2" s="1"/>
  <c r="DF7" i="2"/>
  <c r="BH7" i="2"/>
  <c r="BI7" i="2" s="1" a="1"/>
  <c r="BI7" i="2" s="1"/>
  <c r="BJ7" i="2" s="1" a="1"/>
  <c r="BJ7" i="2" s="1"/>
  <c r="DF6" i="2"/>
  <c r="BH6" i="2"/>
  <c r="BI6" i="2" s="1" a="1"/>
  <c r="BI6" i="2" s="1"/>
  <c r="BJ6" i="2" s="1" a="1"/>
  <c r="BJ6" i="2" s="1"/>
  <c r="BH5" i="2"/>
  <c r="BI5" i="2" s="1" a="1"/>
  <c r="BI5" i="2" s="1"/>
  <c r="BJ5" i="2" s="1" a="1"/>
  <c r="BJ5" i="2" s="1"/>
  <c r="DF5" i="2"/>
  <c r="BI9" i="2" l="1" a="1"/>
  <c r="BI9" i="2" s="1"/>
  <c r="BJ9" i="2" s="1" a="1"/>
  <c r="BJ9" i="2" s="1"/>
  <c r="BA4" i="2" l="1"/>
  <c r="BE4" i="2" a="1"/>
  <c r="BE4" i="2" s="1"/>
  <c r="BK4" i="2" a="1"/>
  <c r="BK4" i="2" s="1"/>
  <c r="BM4" i="2"/>
  <c r="BN4" i="2"/>
  <c r="BC4" i="2" s="1"/>
  <c r="BO4" i="2"/>
  <c r="BP4" i="2" a="1"/>
  <c r="BP4" i="2" s="1"/>
  <c r="BF4" i="2" s="1"/>
  <c r="BQ4" i="2"/>
  <c r="BR4" i="2"/>
  <c r="BS4" i="2"/>
  <c r="BY4" i="2"/>
  <c r="BZ4" i="2" s="1"/>
  <c r="CD4" i="2"/>
  <c r="CF4" i="2"/>
  <c r="CJ4" i="2" s="1" a="1"/>
  <c r="CJ4" i="2" s="1"/>
  <c r="CM4" i="2"/>
  <c r="CU4" i="2"/>
  <c r="CV4" i="2"/>
  <c r="CW4" i="2"/>
  <c r="CX4" i="2"/>
  <c r="CY4" i="2" a="1"/>
  <c r="CY4" i="2" s="1"/>
  <c r="CZ4" i="2"/>
  <c r="DA4" i="2"/>
  <c r="DB4" i="2"/>
  <c r="DC4" i="2"/>
  <c r="DD4" i="2" a="1"/>
  <c r="DD4" i="2" s="1"/>
  <c r="DE4" i="2"/>
  <c r="DF4" i="2" l="1"/>
  <c r="BH4" i="2"/>
  <c r="BI4" i="2" s="1" a="1"/>
  <c r="BI4" i="2" s="1"/>
  <c r="BJ4" i="2" s="1" a="1"/>
  <c r="BJ4" i="2" s="1"/>
  <c r="DE3" i="2" l="1"/>
  <c r="DD3" i="2" a="1"/>
  <c r="DD3" i="2" s="1"/>
  <c r="DC3" i="2"/>
  <c r="DB3" i="2"/>
  <c r="DA3" i="2"/>
  <c r="CZ3" i="2"/>
  <c r="CY3" i="2" a="1"/>
  <c r="CY3" i="2" s="1"/>
  <c r="CX3" i="2"/>
  <c r="CW3" i="2"/>
  <c r="CV3" i="2"/>
  <c r="CU3" i="2"/>
  <c r="CM3" i="2"/>
  <c r="CF3" i="2"/>
  <c r="CJ3" i="2" s="1" a="1"/>
  <c r="CJ3" i="2" s="1"/>
  <c r="CD3" i="2"/>
  <c r="BY3" i="2"/>
  <c r="BZ3" i="2" s="1"/>
  <c r="BS3" i="2"/>
  <c r="BQ3" i="2"/>
  <c r="BR3" i="2"/>
  <c r="BP3" i="2" a="1"/>
  <c r="BP3" i="2" s="1"/>
  <c r="BF3" i="2" s="1"/>
  <c r="BO3" i="2"/>
  <c r="BN3" i="2"/>
  <c r="BC3" i="2" s="1"/>
  <c r="BM3" i="2"/>
  <c r="BK3" i="2" a="1"/>
  <c r="BK3" i="2" s="1"/>
  <c r="BE3" i="2" a="1"/>
  <c r="BE3" i="2" s="1"/>
  <c r="BH3" i="2" l="1"/>
  <c r="BI3" i="2" s="1" a="1"/>
  <c r="BI3" i="2" s="1"/>
  <c r="DF3" i="2"/>
  <c r="BA3" i="2"/>
  <c r="BJ3" i="2" l="1" a="1"/>
  <c r="BJ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<sst xmlns="http://schemas.openxmlformats.org/spreadsheetml/2006/main" count="748" uniqueCount="438">
  <si>
    <t>BU</t>
  </si>
  <si>
    <t xml:space="preserve">Supplier </t>
  </si>
  <si>
    <t>EKPOREF#</t>
  </si>
  <si>
    <t>SECONDARY PO</t>
  </si>
  <si>
    <t>PO REMARKS</t>
  </si>
  <si>
    <t xml:space="preserve">COMMODITY </t>
  </si>
  <si>
    <t>ISS REF</t>
  </si>
  <si>
    <t>MODE</t>
  </si>
  <si>
    <t>ROUTED BY</t>
  </si>
  <si>
    <t>INCOTERMS</t>
  </si>
  <si>
    <t>ISS JOB#</t>
  </si>
  <si>
    <t>HB/L/HAWB #</t>
  </si>
  <si>
    <t>MBL/MAWB #</t>
  </si>
  <si>
    <t>CONTAINER #</t>
  </si>
  <si>
    <t>POL</t>
  </si>
  <si>
    <t>PORT NAME</t>
  </si>
  <si>
    <t>ORG COUNTRY</t>
  </si>
  <si>
    <t>ORG REGION</t>
  </si>
  <si>
    <t>DEST</t>
  </si>
  <si>
    <t>EQPT TYPE</t>
  </si>
  <si>
    <t>20'</t>
  </si>
  <si>
    <t>40'</t>
  </si>
  <si>
    <t># OF CONT.</t>
  </si>
  <si>
    <t># of TEU's</t>
  </si>
  <si>
    <t>Carrier</t>
  </si>
  <si>
    <t>PR APPR DATE</t>
  </si>
  <si>
    <t>PO APPR DATE</t>
  </si>
  <si>
    <t>PO CREATION DATE</t>
  </si>
  <si>
    <t>PO RECD DATE</t>
  </si>
  <si>
    <t>PO NEED BY DATE</t>
  </si>
  <si>
    <t>CRD</t>
  </si>
  <si>
    <t>Pick Up</t>
  </si>
  <si>
    <t>Cargo H/O</t>
  </si>
  <si>
    <t>ETD</t>
  </si>
  <si>
    <t>REVISED ETD</t>
  </si>
  <si>
    <t>ETA</t>
  </si>
  <si>
    <t>REVISED ETA</t>
  </si>
  <si>
    <t>D/O EXP</t>
  </si>
  <si>
    <t>DEL</t>
  </si>
  <si>
    <t>STATUS</t>
  </si>
  <si>
    <t>DELIVERY LOCATION</t>
  </si>
  <si>
    <t>INNER  QTY</t>
  </si>
  <si>
    <t xml:space="preserve">CBM </t>
  </si>
  <si>
    <t>G/W (KGS.)</t>
  </si>
  <si>
    <t>C/W (KGS.)</t>
  </si>
  <si>
    <t>QTY</t>
  </si>
  <si>
    <t>PACK TYPE</t>
  </si>
  <si>
    <t>Invoice (AED)</t>
  </si>
  <si>
    <t>Invoice ( USD)</t>
  </si>
  <si>
    <t>SHIPMENT REMARKS/UPDATES</t>
  </si>
  <si>
    <t>P/A Sent</t>
  </si>
  <si>
    <t>D/N</t>
  </si>
  <si>
    <t>ON TIME ORDER PLACEMENT PERF %</t>
  </si>
  <si>
    <t xml:space="preserve">Supplier committed product readiness performance % </t>
  </si>
  <si>
    <t>ISS container booking performance %</t>
  </si>
  <si>
    <t>ISS Transit Lead Time Perf %</t>
  </si>
  <si>
    <t xml:space="preserve">ISS custom clearance Perf % </t>
  </si>
  <si>
    <t>E2E TOTAL LEAD TIME ACCURACY</t>
  </si>
  <si>
    <t>No of Days Total Comm LT (as per contract)</t>
  </si>
  <si>
    <t>Actual Lead (PO to Date)</t>
  </si>
  <si>
    <t>HEALTH CHECK</t>
  </si>
  <si>
    <t>REASON CODE</t>
  </si>
  <si>
    <t>No of Days Order Placement LT</t>
  </si>
  <si>
    <t>E2E Total LT</t>
  </si>
  <si>
    <t>ORG CHARGES (USD)</t>
  </si>
  <si>
    <t>FRT CHGS (USD)</t>
  </si>
  <si>
    <t>DEST CHARGES (USD)</t>
  </si>
  <si>
    <t>Ancillary Charges (AED)</t>
  </si>
  <si>
    <t>Ancillary Charge Type</t>
  </si>
  <si>
    <t>Ancilliary Charge Form No</t>
  </si>
  <si>
    <t>ORG CHGS (AED)</t>
  </si>
  <si>
    <t>FRT CHGS (AED)</t>
  </si>
  <si>
    <t>DEST CHGS (AED)</t>
  </si>
  <si>
    <t>P2P VALUE</t>
  </si>
  <si>
    <t>TOTAL CHARGES (AED)</t>
  </si>
  <si>
    <t>REQUISITION / BILLING NOTES</t>
  </si>
  <si>
    <t>PR #</t>
  </si>
  <si>
    <t>PR DATE</t>
  </si>
  <si>
    <t>REQ STATUS</t>
  </si>
  <si>
    <t>SPO #</t>
  </si>
  <si>
    <t>PO STATUS</t>
  </si>
  <si>
    <t>SPO /Inv Val(AED)</t>
  </si>
  <si>
    <t>Sent to OPS</t>
  </si>
  <si>
    <t>Invoice #</t>
  </si>
  <si>
    <t>Billing Status</t>
  </si>
  <si>
    <t>Billing Month</t>
  </si>
  <si>
    <t>GRN</t>
  </si>
  <si>
    <t>GRN STATUS</t>
  </si>
  <si>
    <t>PAYMENT STATUS</t>
  </si>
  <si>
    <t>ADDL PO</t>
  </si>
  <si>
    <t>ADDL INV CHGS</t>
  </si>
  <si>
    <t>ADDL INV #</t>
  </si>
  <si>
    <t>ADDL PO GRN #</t>
  </si>
  <si>
    <t>ADDL INV BILLING MONTH</t>
  </si>
  <si>
    <t>ADDL INV PAYMENT STATUS</t>
  </si>
  <si>
    <t>Days Delayed - ETD</t>
  </si>
  <si>
    <t>Days Delayed - ETA</t>
  </si>
  <si>
    <t>RDD-ETA</t>
  </si>
  <si>
    <t>NBD TO CRD</t>
  </si>
  <si>
    <t>PO TO CRD (Supplier Response)</t>
  </si>
  <si>
    <t>CRD TO ETD</t>
  </si>
  <si>
    <t>ETD TO ETA</t>
  </si>
  <si>
    <t>ETA TO DEL</t>
  </si>
  <si>
    <t>NBD TO ETA</t>
  </si>
  <si>
    <t>NBD TO DEL</t>
  </si>
  <si>
    <t>AVERAGE LT</t>
  </si>
  <si>
    <t>BILLING REPORT</t>
  </si>
  <si>
    <t>IACOBUCCI HF AEROSPACE S.P.A.</t>
  </si>
  <si>
    <t>422007642-17</t>
  </si>
  <si>
    <t>PO should be fulfilled</t>
  </si>
  <si>
    <t>STEAM SPOUT</t>
  </si>
  <si>
    <t>Pending</t>
  </si>
  <si>
    <t>S. NO.</t>
  </si>
  <si>
    <t>ADA PACIFIC</t>
  </si>
  <si>
    <t>TBA</t>
  </si>
  <si>
    <t>SI</t>
  </si>
  <si>
    <t>N/A</t>
  </si>
  <si>
    <t>SHIPPER</t>
  </si>
  <si>
    <t>Average of LEAD TIME</t>
  </si>
  <si>
    <t>ABERT SPA</t>
  </si>
  <si>
    <t>AEROFOOD ACS DENPASAR</t>
  </si>
  <si>
    <t>AIRE INFLIGHT</t>
  </si>
  <si>
    <t>BIECHER S.A.</t>
  </si>
  <si>
    <t>BUZZ PRODUCTS PTY LTD</t>
  </si>
  <si>
    <t>BVLGARI IRELAND</t>
  </si>
  <si>
    <t>CASTELLO MONTE VIBIANO VECCHIO S.R.L.</t>
  </si>
  <si>
    <t>CHAPOUTIER</t>
  </si>
  <si>
    <t>CHATSFORD</t>
  </si>
  <si>
    <t>COMPAGNIE MEDOCAINE</t>
  </si>
  <si>
    <t>DE BORTOLI WINES</t>
  </si>
  <si>
    <t>SAFRAN CABIN GERMANY GMBH</t>
  </si>
  <si>
    <t>SAFRAN CABIN FRANCE</t>
  </si>
  <si>
    <t>DESTER</t>
  </si>
  <si>
    <t>DILMAH CEYLON TEA COMPANY PLC</t>
  </si>
  <si>
    <t>DIETHELM KELLER AVIATION</t>
  </si>
  <si>
    <t>DRIESSEN</t>
  </si>
  <si>
    <t>EARTHBAGS EXPORT PVT LTD</t>
  </si>
  <si>
    <t>EFB FZC</t>
  </si>
  <si>
    <t>ELECTROSTAR GMBH</t>
  </si>
  <si>
    <t>FALSEBAY VINEYARDS</t>
  </si>
  <si>
    <t>FISKARS</t>
  </si>
  <si>
    <t>FORMIA MIDDLE EAST FZCO</t>
  </si>
  <si>
    <t>FOURWAY</t>
  </si>
  <si>
    <t>GATE GOURMET</t>
  </si>
  <si>
    <t>GL PRODUCTIONS</t>
  </si>
  <si>
    <t>GLOBAL-C</t>
  </si>
  <si>
    <t>GOLD AWIN LEOVIC GROUP LIMITED</t>
  </si>
  <si>
    <t>GREENLINE</t>
  </si>
  <si>
    <t>INF ORGANISATION</t>
  </si>
  <si>
    <t>INFLIGHT DIRECT</t>
  </si>
  <si>
    <t>INTEX COMFORT</t>
  </si>
  <si>
    <t>JERMANN S.R.L.</t>
  </si>
  <si>
    <t>JF HILLEBRAND</t>
  </si>
  <si>
    <t>JM CAZES</t>
  </si>
  <si>
    <t>JOHN HORSFALL</t>
  </si>
  <si>
    <t>JUTEBERRY INDIA PRIVATE LIMITED</t>
  </si>
  <si>
    <t>KUO YU PLASTIC ENT. CO., LTD.</t>
  </si>
  <si>
    <t>LGI WINES</t>
  </si>
  <si>
    <t>LINSTOL UK LIMITED</t>
  </si>
  <si>
    <t>RETURN - LSG SKY CHEFS</t>
  </si>
  <si>
    <t>MAISON SICHEL</t>
  </si>
  <si>
    <t>MALTON INFLIGHT</t>
  </si>
  <si>
    <t xml:space="preserve">MARCHESI ANTINORI </t>
  </si>
  <si>
    <t>MATRIX</t>
  </si>
  <si>
    <t>MERRY FOOD</t>
  </si>
  <si>
    <t>MHCS</t>
  </si>
  <si>
    <t>MILK DESIGN</t>
  </si>
  <si>
    <t>NAIROBI COFFEE</t>
  </si>
  <si>
    <t>NORITAKE CO LIMITED</t>
  </si>
  <si>
    <t>PETLIFE INTERNATIONAL</t>
  </si>
  <si>
    <t>PLASTICA INDUSTRIES L.L.C</t>
  </si>
  <si>
    <t>PT. AEROFOOD INDONESIA</t>
  </si>
  <si>
    <t>PULSAR FOODSTUFF</t>
  </si>
  <si>
    <t>R GLASS</t>
  </si>
  <si>
    <t>ROBERT WELCH</t>
  </si>
  <si>
    <t>RONA A.S.</t>
  </si>
  <si>
    <t>SALTEC INTERNATIONAL</t>
  </si>
  <si>
    <t>SANKYU FOOD</t>
  </si>
  <si>
    <t>SOLA AIRLINE</t>
  </si>
  <si>
    <t>SOUND UNITED</t>
  </si>
  <si>
    <t xml:space="preserve">SUVJAY INDUSTRIES </t>
  </si>
  <si>
    <t>SUNSHINE TEA HOUSE</t>
  </si>
  <si>
    <t>SYMINGTON</t>
  </si>
  <si>
    <t>SYMINGTON, SOGRAPE</t>
  </si>
  <si>
    <t>THERMOS INTERNATIONAL TRADING</t>
  </si>
  <si>
    <t>TREASURY WINE</t>
  </si>
  <si>
    <t>UNISTO</t>
  </si>
  <si>
    <t>VINIMARK TRADING</t>
  </si>
  <si>
    <t>VOLK ENTERPRISES</t>
  </si>
  <si>
    <t>WESSCO INTERNATIONAL</t>
  </si>
  <si>
    <t>WINITEX</t>
  </si>
  <si>
    <t>CANONICA SA</t>
  </si>
  <si>
    <t>INDIA FOOD EXPORTS</t>
  </si>
  <si>
    <t>GSTIC GROUP DMCC</t>
  </si>
  <si>
    <t>RETURN - AAS CATERING</t>
  </si>
  <si>
    <t>RETURN - AEROFOOD</t>
  </si>
  <si>
    <t>RETURN - CLS CATERING</t>
  </si>
  <si>
    <t>RETURN - DNATA</t>
  </si>
  <si>
    <t>RETURN - DNATA CATERING - MEL</t>
  </si>
  <si>
    <t>RETURN - DNATA CATERING - SYD</t>
  </si>
  <si>
    <t>RETURN - DNATA CATERING - UK</t>
  </si>
  <si>
    <t>RETURN - DNATA - DUB</t>
  </si>
  <si>
    <t>RETURN - DNATA - IAH</t>
  </si>
  <si>
    <t>RETURN - DNATA - SFO</t>
  </si>
  <si>
    <t>RETURN - DO &amp; CO CHICAGO CATERING</t>
  </si>
  <si>
    <t>RETURN - EVERGREEN SKY CATERING</t>
  </si>
  <si>
    <t>RETURN - FLYING FOOD</t>
  </si>
  <si>
    <t>RETURN - GATE GOURMET</t>
  </si>
  <si>
    <t>RETURN - GATE GOURMET - DFW</t>
  </si>
  <si>
    <t>RETURN - GATE GOURMET - JAPAN</t>
  </si>
  <si>
    <t>RETURN - GATE GROUP</t>
  </si>
  <si>
    <t>RETURN - LSG SKY CHEFS - SEA</t>
  </si>
  <si>
    <t>RETURN - NEWREST</t>
  </si>
  <si>
    <t>RETURN - PT CAKRA CIPTA CUNDAMANI</t>
  </si>
  <si>
    <t>RETURN - LSG SKY CHEFS - NEW ZEALAND</t>
  </si>
  <si>
    <t>RETURN - HONETT SZERVÍZ ZRT</t>
  </si>
  <si>
    <t>RETURN - SHARP DO &amp; CO KOREA</t>
  </si>
  <si>
    <t>VALRHONA S A S</t>
  </si>
  <si>
    <t>CHECK</t>
  </si>
  <si>
    <t>RETURN - DNATA - BLQ</t>
  </si>
  <si>
    <t>RETURN - DNATA - MEL</t>
  </si>
  <si>
    <t>RETURN - DNATA - SYD</t>
  </si>
  <si>
    <t>RETURN - LGW</t>
  </si>
  <si>
    <t>RETURN - SFO</t>
  </si>
  <si>
    <t>AVIVA FZCO</t>
  </si>
  <si>
    <t xml:space="preserve">GRANDS WAY INTERNATIONAL </t>
  </si>
  <si>
    <t>NEUHAUS NV</t>
  </si>
  <si>
    <t>PETLIFE INTERNATIONAL LIMITED</t>
  </si>
  <si>
    <t>PLASTICA INDUSTRIES. L L C</t>
  </si>
  <si>
    <t>WELSPUN UK LIMITED</t>
  </si>
  <si>
    <t>WISHERS</t>
  </si>
  <si>
    <t>RETURN EMIRATES SEA</t>
  </si>
  <si>
    <t>IAD RETURN</t>
  </si>
  <si>
    <t>GIRNAR FOOD AND BEVERAGES PVT. LTD.</t>
  </si>
  <si>
    <t>HIMMELTEK GROUP LLC</t>
  </si>
  <si>
    <t>HERMES PARFUMS MIDDLE EAST</t>
  </si>
  <si>
    <t>IAD -RETURN</t>
  </si>
  <si>
    <t>D&amp;M SALES AND MARKETING (H.K.) LIMITED</t>
  </si>
  <si>
    <t>I N F ORGANISATION</t>
  </si>
  <si>
    <t>E.F.B FZC</t>
  </si>
  <si>
    <t>Code</t>
  </si>
  <si>
    <t>Country</t>
  </si>
  <si>
    <t>Average of TRANSIT TIME</t>
  </si>
  <si>
    <t>AU</t>
  </si>
  <si>
    <t>AUSTRALIA</t>
  </si>
  <si>
    <t>BE</t>
  </si>
  <si>
    <t>BELGIUM</t>
  </si>
  <si>
    <t>CN</t>
  </si>
  <si>
    <t>CHINA</t>
  </si>
  <si>
    <t>DK</t>
  </si>
  <si>
    <t>DENMARK</t>
  </si>
  <si>
    <t>FR</t>
  </si>
  <si>
    <t>FRANCE</t>
  </si>
  <si>
    <t>DE</t>
  </si>
  <si>
    <t>GERMANY</t>
  </si>
  <si>
    <t>HK</t>
  </si>
  <si>
    <t>HONG KONG</t>
  </si>
  <si>
    <t>IN</t>
  </si>
  <si>
    <t>INDIA</t>
  </si>
  <si>
    <t>ID</t>
  </si>
  <si>
    <t>INDONESIA</t>
  </si>
  <si>
    <t>IE</t>
  </si>
  <si>
    <t>IRELAND</t>
  </si>
  <si>
    <t>IT</t>
  </si>
  <si>
    <t>ITALY</t>
  </si>
  <si>
    <t>JP</t>
  </si>
  <si>
    <t>JAPAN</t>
  </si>
  <si>
    <t>MY</t>
  </si>
  <si>
    <t>MALAYSIA</t>
  </si>
  <si>
    <t>MT</t>
  </si>
  <si>
    <t>MALTA</t>
  </si>
  <si>
    <t>MX</t>
  </si>
  <si>
    <t>MEXICO</t>
  </si>
  <si>
    <t>AT</t>
  </si>
  <si>
    <t>AUSTRIA</t>
  </si>
  <si>
    <t>SLOVENIA</t>
  </si>
  <si>
    <t>MM</t>
  </si>
  <si>
    <t>MYANMAR</t>
  </si>
  <si>
    <t>VN</t>
  </si>
  <si>
    <t>VIETNAM</t>
  </si>
  <si>
    <t>GR</t>
  </si>
  <si>
    <t>GREECE</t>
  </si>
  <si>
    <t>CA</t>
  </si>
  <si>
    <t>CANADA</t>
  </si>
  <si>
    <t>CZ</t>
  </si>
  <si>
    <t>CZECH REPUBLIC</t>
  </si>
  <si>
    <t>BR</t>
  </si>
  <si>
    <t>BRAZIL</t>
  </si>
  <si>
    <t>NZ</t>
  </si>
  <si>
    <t>NEW ZEALAND</t>
  </si>
  <si>
    <t>ZA</t>
  </si>
  <si>
    <t>SOUTH AFRICA</t>
  </si>
  <si>
    <t>CH</t>
  </si>
  <si>
    <t>SWITZERLAND</t>
  </si>
  <si>
    <t>NL</t>
  </si>
  <si>
    <t>NETHERLANDS</t>
  </si>
  <si>
    <t>NO</t>
  </si>
  <si>
    <t>NORWAY</t>
  </si>
  <si>
    <t>RO</t>
  </si>
  <si>
    <t>ROMANIA</t>
  </si>
  <si>
    <t>SG</t>
  </si>
  <si>
    <t>SINGAPORE</t>
  </si>
  <si>
    <t>SK</t>
  </si>
  <si>
    <t>SLOVAKIA</t>
  </si>
  <si>
    <t>KR</t>
  </si>
  <si>
    <t>SOUTH KOREA</t>
  </si>
  <si>
    <t>ES</t>
  </si>
  <si>
    <t>SPAIN</t>
  </si>
  <si>
    <t>LK</t>
  </si>
  <si>
    <t>SRI LANKA</t>
  </si>
  <si>
    <t>TW</t>
  </si>
  <si>
    <t>TAIWAN</t>
  </si>
  <si>
    <t>TH</t>
  </si>
  <si>
    <t>THAILAND</t>
  </si>
  <si>
    <t>TR</t>
  </si>
  <si>
    <t>TURKEY</t>
  </si>
  <si>
    <t>GB</t>
  </si>
  <si>
    <t>UNITED KINGDOM</t>
  </si>
  <si>
    <t>US</t>
  </si>
  <si>
    <t>USA</t>
  </si>
  <si>
    <t>AE</t>
  </si>
  <si>
    <t>UNITED ARAB EMIRATES</t>
  </si>
  <si>
    <t>No of Days Custom Clearance LT</t>
  </si>
  <si>
    <t>No of Days Supplier Production Lead Time</t>
  </si>
  <si>
    <t>No of Days Transit LT</t>
  </si>
  <si>
    <t>No of Days ISS Cont Booking LT</t>
  </si>
  <si>
    <t>AL SALEM TRADING ENTERPRISES L.L.C.</t>
  </si>
  <si>
    <t>422015518-963</t>
  </si>
  <si>
    <t>woven covers po</t>
  </si>
  <si>
    <t>Non-woven Covers for Headrest, Pillow</t>
  </si>
  <si>
    <t>Cancelled</t>
  </si>
  <si>
    <t>STEP SOURCING TRADING L.L.C</t>
  </si>
  <si>
    <t>422016887-19</t>
  </si>
  <si>
    <t>cotton</t>
  </si>
  <si>
    <t>fc cotton</t>
  </si>
  <si>
    <t>fc coaster</t>
  </si>
  <si>
    <t>FC Cotton Coaster</t>
  </si>
  <si>
    <t>Not Due</t>
  </si>
  <si>
    <t>IACOBUCCI HF AEROSPACE S.P.A.,STEP SOURCING TRADING L.L.C</t>
  </si>
  <si>
    <t>PO should be fulfilled|cotton|fc cotton</t>
  </si>
  <si>
    <t>STEAM SPOUT|FC Cotton Coaster</t>
  </si>
  <si>
    <t>EM000128</t>
  </si>
  <si>
    <t>422007642-18</t>
  </si>
  <si>
    <t>Revised PO to add extra quantity</t>
  </si>
  <si>
    <t>On Going</t>
  </si>
  <si>
    <t>422007642-17-100|422016887-19-1250</t>
  </si>
  <si>
    <t>EM000115</t>
  </si>
  <si>
    <t>SHPDXBSI25000180</t>
  </si>
  <si>
    <t>423000433-561</t>
  </si>
  <si>
    <t>422016887-19,422007642-17</t>
  </si>
  <si>
    <t>Bags with cutlery|cotton|PO should be fulfilled</t>
  </si>
  <si>
    <t xml:space="preserve">PLASTIC BAG FOR BULK CUTLERY (PLASTIC ZIP)
|FC Cotton Coaster|STEAM SPOUT
</t>
  </si>
  <si>
    <t>sea_inbound</t>
  </si>
  <si>
    <t>ISS</t>
  </si>
  <si>
    <t>FCA</t>
  </si>
  <si>
    <t>MBL3456723</t>
  </si>
  <si>
    <t>HBL78464533</t>
  </si>
  <si>
    <t>CNTX89746352,CETU4522311,UTX9874635</t>
  </si>
  <si>
    <t>CNSGH</t>
  </si>
  <si>
    <t>SHANGHAI</t>
  </si>
  <si>
    <t>ASIA</t>
  </si>
  <si>
    <t>AEJEA</t>
  </si>
  <si>
    <t>1x20 ft Dry Bulk + 1x20 ft Standard Dry + 1x40 ft Standard Dry</t>
  </si>
  <si>
    <t>HAPAG-LLOYD</t>
  </si>
  <si>
    <t>In Transit</t>
  </si>
  <si>
    <t>FW JEBEL ALI</t>
  </si>
  <si>
    <t>422007642-17-500|422016887-19-1200|423000433-561-400</t>
  </si>
  <si>
    <t>Package</t>
  </si>
  <si>
    <t>20.02.25: MAIL SENT TO SUPPLIER SCL JULEE &amp; CARYL COPIED
09.03.25:MAIL SENT TO SUPPLIER SCL JULEE &amp; CARYL COPIED
21.03.25: booking request received r/o sent to agent await relase | IFSIMPGC202676 | 423005557-297-198,000 | 423005557-298- 264,000
05.05.25: 423005557-297-198,000 | 423005557-298-264,000 | GLLCN0010473
06.05.25: shipment connection via SIN will be rolled over due to space issues with vessel, SCL team notified  revised ETA
13.05.25: ETA 10-JUN</t>
  </si>
  <si>
    <t>Yes</t>
  </si>
  <si>
    <t>No</t>
  </si>
  <si>
    <t>Service</t>
  </si>
  <si>
    <t>Charge</t>
  </si>
  <si>
    <t>Category</t>
  </si>
  <si>
    <t>Status</t>
  </si>
  <si>
    <t>air_outbound</t>
  </si>
  <si>
    <t>PICK-UP CHARGES</t>
  </si>
  <si>
    <t>Origin Charge</t>
  </si>
  <si>
    <t>Active</t>
  </si>
  <si>
    <t>DOCUMENTATION CHARGE</t>
  </si>
  <si>
    <t>DESTINATION HANDLING</t>
  </si>
  <si>
    <t>Destination Charge</t>
  </si>
  <si>
    <t>DESTINATION HAULAGE CHARGES</t>
  </si>
  <si>
    <t>CLEARANCE CHARGES (DEST.)</t>
  </si>
  <si>
    <t>DOCUMENTATION FEE - DEST</t>
  </si>
  <si>
    <t>air_inbound</t>
  </si>
  <si>
    <t>HANDLING CHARGES</t>
  </si>
  <si>
    <t>TRANSPORT CHARGES</t>
  </si>
  <si>
    <t>CUSTOMS CLEARANCE CHARGES</t>
  </si>
  <si>
    <t>sea_outbound</t>
  </si>
  <si>
    <t>FOB CHARGES</t>
  </si>
  <si>
    <t>OCEAN FREIGHT</t>
  </si>
  <si>
    <t>Freight Charge</t>
  </si>
  <si>
    <t>DESTINATION CHARGES</t>
  </si>
  <si>
    <t>DCAA CHARGE</t>
  </si>
  <si>
    <t>Ancillary Charge</t>
  </si>
  <si>
    <t>SANITARY FEE</t>
  </si>
  <si>
    <t>FDA PERMIT</t>
  </si>
  <si>
    <t>HEALTH CERT</t>
  </si>
  <si>
    <t>MPI CHARGE</t>
  </si>
  <si>
    <t>QUARANTINE CHARGE</t>
  </si>
  <si>
    <t>XRAY FEE</t>
  </si>
  <si>
    <t>LABOUR CHARGE</t>
  </si>
  <si>
    <t>STORAGE CHARGE</t>
  </si>
  <si>
    <t>CUSTOMS DUTY</t>
  </si>
  <si>
    <t>IMPORT VAT CHARGES</t>
  </si>
  <si>
    <t>DELIVERY ORDER FEE</t>
  </si>
  <si>
    <t>NATIONAL MEDIA COUNCIL</t>
  </si>
  <si>
    <t>DUBAI MUNICIPALITY FEE</t>
  </si>
  <si>
    <t>MOFA FEES</t>
  </si>
  <si>
    <t>MOFA SERVICE CHARGES</t>
  </si>
  <si>
    <t>Air Freight Charges</t>
  </si>
  <si>
    <t>INSPECTION CHARGES</t>
  </si>
  <si>
    <t>air_cross_trade</t>
  </si>
  <si>
    <t>LINE DEMURRAGE CHARGES</t>
  </si>
  <si>
    <t>sea_cross_trade</t>
  </si>
  <si>
    <t>786354426281</t>
  </si>
  <si>
    <t>PO6652423151</t>
  </si>
  <si>
    <t>SE5673422</t>
  </si>
  <si>
    <t>PO874390022</t>
  </si>
  <si>
    <t>EMIRATES AIRLINE - DEPARTMENT - INFLIGHT SERVICES – 63014</t>
  </si>
  <si>
    <t>EM000127</t>
  </si>
  <si>
    <t>EMIRATES AIRLINE-RETAIL-CCC: 63032</t>
  </si>
  <si>
    <t>423000433-562</t>
  </si>
  <si>
    <t>Bags with cutlery</t>
  </si>
  <si>
    <t>Bags with cutlery|cutlery</t>
  </si>
  <si>
    <t>PLASTIC BAG FOR BULK CUTLERY (PLASTIC ZIP)</t>
  </si>
  <si>
    <t>Direct</t>
  </si>
  <si>
    <t>EXW</t>
  </si>
  <si>
    <t>AEDXB</t>
  </si>
  <si>
    <t>CNSZX</t>
  </si>
  <si>
    <t>SHENZHEN BAOAN</t>
  </si>
  <si>
    <t>1x20 ft Standard Dry + 2x40 ft Standard Dry + 2x40 ft High Cube</t>
  </si>
  <si>
    <t>FW RAMOUL</t>
  </si>
  <si>
    <t>423000433-561-43600|423000433-562-3000</t>
  </si>
  <si>
    <t>EM000126</t>
  </si>
  <si>
    <t>shipment billed to customer on one month delay</t>
  </si>
  <si>
    <t>777299992002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</si>
</sst>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409]d\-mmm\-yy;@"/>
    <numFmt numFmtId="165" formatCode="[$-409]d\-mmm\-yyyy;@"/>
    <numFmt numFmtId="166" formatCode="[$-409]dd\-mmm\-yy;@"/>
    <numFmt numFmtId="167" formatCode="_(* #,##0.00_);_(* \(#,##0.00\);_(* &quot;-&quot;??_);_(@_)"/>
    <numFmt numFmtId="168" formatCode="_(* #,##0_);_(* \(#,##0\);_(* &quot;-&quot;??_);_(@_)"/>
    <numFmt numFmtId="169" formatCode="0_);[Red]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2" tint="-0.89999084444715716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5" fillId="0" borderId="0"/>
    <xf numFmtId="167" fontId="1" fillId="0" borderId="0" applyFont="0" applyFill="0" applyBorder="0" applyAlignment="0" applyProtection="0"/>
    <xf numFmtId="0" fontId="4" fillId="0" borderId="0">
      <alignment vertical="center"/>
    </xf>
  </cellStyleXfs>
  <cellXfs count="8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5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9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top"/>
    </xf>
    <xf numFmtId="0" fontId="6" fillId="0" borderId="2" xfId="0" applyFont="1" applyBorder="1" applyAlignment="1">
      <alignment horizontal="left" vertical="top" wrapText="1"/>
    </xf>
    <xf numFmtId="0" fontId="3" fillId="0" borderId="1" xfId="0" applyFont="1" applyBorder="1"/>
    <xf numFmtId="168" fontId="0" fillId="0" borderId="1" xfId="1" applyNumberFormat="1" applyFont="1" applyBorder="1"/>
    <xf numFmtId="1" fontId="0" fillId="0" borderId="0" xfId="0" applyNumberFormat="1"/>
    <xf numFmtId="0" fontId="4" fillId="2" borderId="0" xfId="0" applyFont="1" applyFill="1" applyAlignment="1">
      <alignment vertical="center"/>
    </xf>
    <xf numFmtId="164" fontId="6" fillId="0" borderId="0" xfId="2" applyFont="1" applyAlignment="1">
      <alignment horizontal="left" vertical="center" wrapText="1"/>
    </xf>
    <xf numFmtId="164" fontId="6" fillId="0" borderId="0" xfId="2" applyFont="1" applyAlignment="1">
      <alignment horizontal="left" vertical="center"/>
    </xf>
    <xf numFmtId="164" fontId="7" fillId="0" borderId="0" xfId="2" applyFont="1" applyAlignment="1">
      <alignment horizontal="left" vertical="center"/>
    </xf>
    <xf numFmtId="165" fontId="6" fillId="0" borderId="0" xfId="2" applyNumberFormat="1" applyFont="1" applyAlignment="1">
      <alignment horizontal="left" vertical="center"/>
    </xf>
    <xf numFmtId="15" fontId="6" fillId="0" borderId="0" xfId="2" applyNumberFormat="1" applyFont="1" applyAlignment="1">
      <alignment horizontal="left" vertical="center" wrapText="1"/>
    </xf>
    <xf numFmtId="166" fontId="6" fillId="2" borderId="0" xfId="2" applyNumberFormat="1" applyFont="1" applyFill="1" applyAlignment="1">
      <alignment horizontal="left" vertical="center" wrapText="1"/>
    </xf>
    <xf numFmtId="166" fontId="6" fillId="0" borderId="0" xfId="2" applyNumberFormat="1" applyFont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" fontId="6" fillId="0" borderId="0" xfId="2" applyNumberFormat="1" applyFont="1" applyAlignment="1">
      <alignment horizontal="left" vertical="center" wrapText="1"/>
    </xf>
    <xf numFmtId="167" fontId="6" fillId="0" borderId="0" xfId="3" applyFont="1" applyFill="1" applyAlignment="1">
      <alignment horizontal="left" vertical="center" wrapText="1"/>
    </xf>
    <xf numFmtId="164" fontId="7" fillId="0" borderId="0" xfId="2" applyFont="1" applyAlignment="1">
      <alignment horizontal="left" vertical="center" wrapText="1"/>
    </xf>
    <xf numFmtId="164" fontId="7" fillId="2" borderId="0" xfId="2" applyFont="1" applyFill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49" fontId="8" fillId="3" borderId="0" xfId="0" applyNumberFormat="1" applyFont="1" applyFill="1" applyAlignment="1">
      <alignment horizontal="left" vertical="center" wrapText="1"/>
    </xf>
    <xf numFmtId="9" fontId="0" fillId="0" borderId="0" xfId="0" applyNumberFormat="1" applyAlignment="1">
      <alignment wrapText="1"/>
    </xf>
    <xf numFmtId="9" fontId="6" fillId="0" borderId="0" xfId="2" applyNumberFormat="1" applyFont="1" applyAlignment="1">
      <alignment wrapText="1"/>
    </xf>
    <xf numFmtId="167" fontId="0" fillId="0" borderId="0" xfId="0" applyNumberFormat="1"/>
    <xf numFmtId="167" fontId="6" fillId="0" borderId="0" xfId="2" applyNumberFormat="1" applyFont="1" applyAlignment="1">
      <alignment horizontal="left" vertical="center" wrapText="1"/>
    </xf>
    <xf numFmtId="1" fontId="6" fillId="0" borderId="0" xfId="2" applyNumberFormat="1" applyFont="1" applyAlignment="1">
      <alignment horizontal="left" vertical="center" wrapText="1"/>
    </xf>
    <xf numFmtId="9" fontId="0" fillId="0" borderId="0" xfId="0" applyNumberFormat="1" applyAlignment="1">
      <alignment horizontal="right"/>
    </xf>
    <xf numFmtId="9" fontId="6" fillId="0" borderId="0" xfId="2" applyNumberFormat="1" applyFont="1" applyAlignment="1">
      <alignment horizontal="right" vertical="center" wrapText="1"/>
    </xf>
    <xf numFmtId="169" fontId="0" fillId="0" borderId="0" xfId="0" applyNumberFormat="1" applyAlignment="1">
      <alignment horizontal="right"/>
    </xf>
    <xf numFmtId="169" fontId="6" fillId="0" borderId="0" xfId="2" applyNumberFormat="1" applyFont="1" applyAlignment="1">
      <alignment horizontal="right" vertical="center" wrapText="1"/>
    </xf>
    <xf numFmtId="167" fontId="0" fillId="0" borderId="0" xfId="0" applyNumberFormat="1" applyAlignment="1">
      <alignment horizontal="right"/>
    </xf>
    <xf numFmtId="167" fontId="6" fillId="0" borderId="0" xfId="2" applyNumberFormat="1" applyFont="1" applyAlignment="1">
      <alignment horizontal="right" vertical="center" wrapText="1"/>
    </xf>
    <xf numFmtId="1" fontId="0" fillId="0" borderId="0" xfId="0" applyNumberFormat="1" applyAlignment="1">
      <alignment horizontal="right"/>
    </xf>
    <xf numFmtId="1" fontId="6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 wrapText="1"/>
    </xf>
    <xf numFmtId="164" fontId="6" fillId="0" borderId="1" xfId="2" applyFont="1" applyBorder="1" applyAlignment="1">
      <alignment vertical="center" wrapText="1"/>
    </xf>
    <xf numFmtId="164" fontId="6" fillId="0" borderId="1" xfId="2" applyFont="1" applyBorder="1" applyAlignment="1">
      <alignment vertical="center"/>
    </xf>
    <xf numFmtId="164" fontId="7" fillId="0" borderId="1" xfId="2" applyFont="1" applyBorder="1" applyAlignment="1">
      <alignment vertical="center"/>
    </xf>
    <xf numFmtId="165" fontId="6" fillId="0" borderId="1" xfId="2" applyNumberFormat="1" applyFont="1" applyBorder="1" applyAlignment="1">
      <alignment vertical="center"/>
    </xf>
    <xf numFmtId="166" fontId="6" fillId="0" borderId="1" xfId="2" applyNumberFormat="1" applyFont="1" applyBorder="1" applyAlignment="1">
      <alignment vertical="center" wrapText="1"/>
    </xf>
    <xf numFmtId="166" fontId="6" fillId="2" borderId="1" xfId="2" applyNumberFormat="1" applyFont="1" applyFill="1" applyBorder="1" applyAlignment="1">
      <alignment vertical="center" wrapText="1"/>
    </xf>
    <xf numFmtId="4" fontId="6" fillId="0" borderId="1" xfId="2" applyNumberFormat="1" applyFont="1" applyBorder="1" applyAlignment="1">
      <alignment vertical="center" wrapText="1"/>
    </xf>
    <xf numFmtId="167" fontId="6" fillId="0" borderId="1" xfId="3" applyFont="1" applyFill="1" applyBorder="1" applyAlignment="1">
      <alignment vertical="center" wrapText="1"/>
    </xf>
    <xf numFmtId="9" fontId="6" fillId="0" borderId="1" xfId="2" applyNumberFormat="1" applyFont="1" applyBorder="1" applyAlignment="1">
      <alignment vertical="center" wrapText="1"/>
    </xf>
    <xf numFmtId="169" fontId="6" fillId="0" borderId="1" xfId="2" applyNumberFormat="1" applyFont="1" applyBorder="1" applyAlignment="1">
      <alignment vertical="center" wrapText="1"/>
    </xf>
    <xf numFmtId="167" fontId="6" fillId="0" borderId="1" xfId="2" applyNumberFormat="1" applyFont="1" applyBorder="1" applyAlignment="1">
      <alignment vertical="center" wrapText="1"/>
    </xf>
    <xf numFmtId="164" fontId="6" fillId="2" borderId="1" xfId="2" applyFont="1" applyFill="1" applyBorder="1" applyAlignment="1">
      <alignment vertical="center" wrapText="1"/>
    </xf>
    <xf numFmtId="164" fontId="7" fillId="0" borderId="1" xfId="2" applyFont="1" applyBorder="1" applyAlignment="1">
      <alignment vertical="center" wrapText="1"/>
    </xf>
    <xf numFmtId="164" fontId="7" fillId="2" borderId="1" xfId="2" applyFont="1" applyFill="1" applyBorder="1" applyAlignment="1">
      <alignment vertical="center" wrapText="1"/>
    </xf>
    <xf numFmtId="1" fontId="6" fillId="0" borderId="1" xfId="2" applyNumberFormat="1" applyFont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8" fillId="3" borderId="1" xfId="0" applyNumberFormat="1" applyFont="1" applyFill="1" applyBorder="1" applyAlignment="1">
      <alignment vertical="center" wrapText="1"/>
    </xf>
    <xf numFmtId="15" fontId="0" fillId="4" borderId="3" xfId="0" applyNumberFormat="1" applyFill="1" applyBorder="1"/>
    <xf numFmtId="167" fontId="6" fillId="0" borderId="0" xfId="3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1" fillId="0" borderId="0" xfId="0" applyFont="1"/>
    <xf numFmtId="167" fontId="8" fillId="0" borderId="1" xfId="2" applyNumberFormat="1" applyFont="1" applyBorder="1" applyAlignment="1">
      <alignment vertical="center" wrapText="1"/>
    </xf>
    <xf numFmtId="167" fontId="8" fillId="0" borderId="0" xfId="2" applyNumberFormat="1" applyFont="1" applyAlignment="1">
      <alignment horizontal="left" vertical="center" wrapText="1"/>
    </xf>
    <xf numFmtId="0" fontId="3" fillId="5" borderId="1" xfId="0" applyFont="1" applyFill="1" applyBorder="1"/>
    <xf numFmtId="0" fontId="3" fillId="5" borderId="4" xfId="0" applyFont="1" applyFill="1" applyBorder="1"/>
    <xf numFmtId="0" fontId="0" fillId="0" borderId="4" xfId="0" applyBorder="1"/>
    <xf numFmtId="49" fontId="6" fillId="0" borderId="1" xfId="2" applyNumberFormat="1" applyFont="1" applyBorder="1" applyAlignment="1">
      <alignment vertical="center" wrapText="1"/>
    </xf>
    <xf numFmtId="49" fontId="6" fillId="0" borderId="0" xfId="2" applyNumberFormat="1" applyFont="1" applyAlignment="1">
      <alignment horizontal="left" vertical="center" wrapText="1"/>
    </xf>
    <xf numFmtId="49" fontId="0" fillId="0" borderId="0" xfId="0" applyNumberFormat="1"/>
    <xf numFmtId="49" fontId="6" fillId="2" borderId="0" xfId="2" applyNumberFormat="1" applyFont="1" applyFill="1" applyAlignment="1">
      <alignment horizontal="left" vertical="center" wrapText="1"/>
    </xf>
    <xf numFmtId="0" fontId="12" fillId="0" borderId="0" xfId="0" applyFont="1"/>
    <xf numFmtId="0" fontId="12" fillId="0" borderId="0" xfId="0" applyFont="1" applyAlignment="1">
      <alignment wrapText="1"/>
    </xf>
  </cellXfs>
  <cellStyles count="5">
    <cellStyle name="Comma" xfId="1" builtinId="3"/>
    <cellStyle name="Comma 2" xfId="3" xr:uid="{0959C585-F25C-49EF-A8C4-878695A85384}"/>
    <cellStyle name="Normal" xfId="0" builtinId="0"/>
    <cellStyle name="Normal 2" xfId="2" xr:uid="{B6E0075A-145D-4517-91EE-8947DD35519E}"/>
    <cellStyle name="ReportDataStyle" xfId="4" xr:uid="{29DA1792-F461-4E3F-AB95-4AB82670A600}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0_);[Red]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_(* #,##0.00_);_(* \(#,##0.00\);_(* &quot;-&quot;??_);_(@_)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[$-409]dd\-mmm\-yy;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0" formatCode="dd\-mmm\-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0" formatCode="dd\-mmm\-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0" formatCode="dd\-mmm\-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0" formatCode="dd\-mmm\-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0" formatCode="dd\-mmm\-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[$-409]d\-mmm\-yy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F7B4F-6BBF-4FC2-A2FB-8886C9610681}" name="Table1" displayName="Table1" ref="A1:DH11" insertRowShift="1" totalsRowShown="0" headerRowDxfId="129" dataDxfId="128">
  <autoFilter ref="A1:DH11" xr:uid="{8C3F7B4F-6BBF-4FC2-A2FB-8886C9610681}"/>
  <tableColumns count="112">
    <tableColumn id="1" xr3:uid="{DBB3C3A2-112D-4CED-B716-510E2CB2BA12}" name="S. NO." dataDxfId="127"/>
    <tableColumn id="2" xr3:uid="{8A782408-6F2A-4808-8951-AC1BF7B47A69}" name="BU" dataDxfId="126"/>
    <tableColumn id="3" xr3:uid="{B83D8F93-91C5-4B64-848E-F646C28BC20D}" name="Supplier " dataDxfId="125"/>
    <tableColumn id="4" xr3:uid="{F2ABF37B-C6B1-4F61-840E-AB38E33CDC29}" name="EKPOREF#" dataDxfId="124"/>
    <tableColumn id="5" xr3:uid="{C5F3E97C-22BD-46AE-BD7F-E1368577EEC7}" name="SECONDARY PO" dataDxfId="123"/>
    <tableColumn id="6" xr3:uid="{17CBD20C-E966-4192-966F-24EC94A7B82F}" name="PO REMARKS" dataDxfId="122" dataCellStyle="Normal 2"/>
    <tableColumn id="7" xr3:uid="{15E9B0C4-CD9D-45AC-8D7B-7BDD91F678B8}" name="COMMODITY " dataDxfId="121" dataCellStyle="Normal 2"/>
    <tableColumn id="8" xr3:uid="{F64C5708-9F80-4AE0-B366-881B482E1109}" name="ISS REF" dataDxfId="120" dataCellStyle="Normal 2"/>
    <tableColumn id="9" xr3:uid="{AF438417-15D7-43D6-ADBD-F458EC90C415}" name="MODE" dataDxfId="119" dataCellStyle="Normal 2"/>
    <tableColumn id="10" xr3:uid="{DA076DC8-8A0E-41BF-AEBF-72A5A3D6BA9B}" name="ROUTED BY" dataDxfId="118" dataCellStyle="Normal 2"/>
    <tableColumn id="11" xr3:uid="{A15A86E1-6EC4-42F8-94ED-9971ADCD6A69}" name="INCOTERMS" dataDxfId="117" dataCellStyle="Normal 2"/>
    <tableColumn id="12" xr3:uid="{45552CC6-B057-49CC-B590-B528D53C54BD}" name="ISS JOB#" dataDxfId="116" dataCellStyle="Normal 2"/>
    <tableColumn id="13" xr3:uid="{34698015-1303-485D-94C5-D7F4A8EAE8CB}" name="HB/L/HAWB #" dataDxfId="115" dataCellStyle="Normal 2"/>
    <tableColumn id="14" xr3:uid="{D9606B99-D0E3-42FE-BF2F-036A6EE76B79}" name="MBL/MAWB #" dataDxfId="114" dataCellStyle="Normal 2"/>
    <tableColumn id="15" xr3:uid="{BF21822F-3875-433E-8FB3-3674C470FE4A}" name="CONTAINER #" dataDxfId="113" dataCellStyle="Normal 2"/>
    <tableColumn id="16" xr3:uid="{7EFEAC32-0D51-4C18-A910-A239FB828157}" name="POL" dataDxfId="112" dataCellStyle="Normal 2"/>
    <tableColumn id="17" xr3:uid="{06BC018D-650B-43ED-AF73-2173E2135FBB}" name="PORT NAME" dataDxfId="111" dataCellStyle="Normal 2"/>
    <tableColumn id="18" xr3:uid="{EF227100-C327-42A0-AC6C-2C674A1403CC}" name="ORG COUNTRY" dataDxfId="110" dataCellStyle="Normal 2"/>
    <tableColumn id="19" xr3:uid="{90141CA4-83E2-4357-B344-31547356FA27}" name="ORG REGION" dataDxfId="109" dataCellStyle="Normal 2"/>
    <tableColumn id="20" xr3:uid="{0E0330C9-FF3C-4A59-98E3-AD591E30E9FE}" name="DEST" dataDxfId="108" dataCellStyle="Normal 2"/>
    <tableColumn id="21" xr3:uid="{06BB9BDB-FA0A-4734-8758-EA8C5342571A}" name="EQPT TYPE" dataDxfId="107" dataCellStyle="Normal 2"/>
    <tableColumn id="22" xr3:uid="{B9031DDD-D0BC-4B21-8ABE-B52029028480}" name="20'" dataDxfId="106" dataCellStyle="Normal 2"/>
    <tableColumn id="23" xr3:uid="{BB50DF88-91FA-45BA-B139-37C427BF6335}" name="40'" dataDxfId="105" dataCellStyle="Normal 2"/>
    <tableColumn id="24" xr3:uid="{C550AD8C-AA5E-4E85-AE5C-692AEF0749B8}" name="# OF CONT." dataDxfId="104" dataCellStyle="Normal 2"/>
    <tableColumn id="25" xr3:uid="{FD39FE94-0432-4CC9-B6AC-7D1926DDA084}" name="# of TEU's" dataDxfId="103" dataCellStyle="Normal 2"/>
    <tableColumn id="26" xr3:uid="{FDF127A7-04E9-4F95-80D9-A25780888C30}" name="Carrier" dataDxfId="102" dataCellStyle="Normal 2"/>
    <tableColumn id="27" xr3:uid="{4331122E-06EE-4CF9-B47D-908DE50EDDC6}" name="PR APPR DATE" dataDxfId="101" dataCellStyle="Normal 2"/>
    <tableColumn id="28" xr3:uid="{EE92A220-4425-426A-999B-CB4907EDFB5C}" name="PO APPR DATE" dataDxfId="100" dataCellStyle="Normal 2"/>
    <tableColumn id="29" xr3:uid="{700237F9-192C-4CEA-A1BC-D7DBDDB8EA32}" name="PO CREATION DATE" dataDxfId="99" dataCellStyle="Normal 2"/>
    <tableColumn id="30" xr3:uid="{27E76281-2523-4EB7-B4C9-C565884AB90F}" name="PO RECD DATE" dataDxfId="98" dataCellStyle="Normal 2"/>
    <tableColumn id="31" xr3:uid="{16CFE679-9D38-49F9-80D0-E7BAF665B3EF}" name="PO NEED BY DATE" dataDxfId="97" dataCellStyle="Normal 2"/>
    <tableColumn id="32" xr3:uid="{513903E9-1045-4FA2-991C-B19AFE297A1E}" name="CRD" dataDxfId="96" dataCellStyle="Normal 2"/>
    <tableColumn id="33" xr3:uid="{A617D324-2AA7-428B-9E30-1F3153A578D2}" name="Pick Up" dataDxfId="95" dataCellStyle="Normal 2"/>
    <tableColumn id="34" xr3:uid="{C82E5991-1BDC-4107-9781-ABAACF7A8A93}" name="Cargo H/O" dataDxfId="94" dataCellStyle="Normal 2"/>
    <tableColumn id="35" xr3:uid="{07CB2FD6-9144-4439-93DD-9845465D8D9F}" name="ETD" dataDxfId="93" dataCellStyle="Normal 2"/>
    <tableColumn id="36" xr3:uid="{324945F1-FEE2-4C18-A953-7AE7C25125BD}" name="REVISED ETD" dataDxfId="92" dataCellStyle="Normal 2"/>
    <tableColumn id="37" xr3:uid="{DFD0DD80-489F-4FC0-9D39-34FFB7928603}" name="ETA" dataDxfId="91" dataCellStyle="Normal 2"/>
    <tableColumn id="38" xr3:uid="{60A66BF7-59A1-4262-8D1B-04053473DE29}" name="REVISED ETA" dataDxfId="90" dataCellStyle="Normal 2"/>
    <tableColumn id="39" xr3:uid="{FF4B5381-FBA3-4E3F-93BA-15BA7A1CB2DB}" name="D/O EXP" dataDxfId="89"/>
    <tableColumn id="40" xr3:uid="{88C09A0A-8C23-470A-97F2-241888A1A906}" name="DEL" dataDxfId="88" dataCellStyle="Normal 2"/>
    <tableColumn id="41" xr3:uid="{8BCBBF81-241C-4535-8691-0FD18C495D91}" name="STATUS" dataDxfId="87"/>
    <tableColumn id="42" xr3:uid="{7E409355-25C2-4304-80DD-92B48702C160}" name="DELIVERY LOCATION" dataDxfId="86" dataCellStyle="Normal 2"/>
    <tableColumn id="43" xr3:uid="{2D85C498-59F6-42F9-89AB-89AED344C181}" name="INNER  QTY" dataDxfId="85" dataCellStyle="Normal 2"/>
    <tableColumn id="44" xr3:uid="{540E71CC-4C1A-4D07-9B10-77446CB4F18A}" name="CBM " dataDxfId="84" dataCellStyle="Comma 2"/>
    <tableColumn id="45" xr3:uid="{222EF75B-C4B2-42FB-8D57-EC6EA06AD4F4}" name="G/W (KGS.)" dataDxfId="83" dataCellStyle="Normal 2"/>
    <tableColumn id="46" xr3:uid="{0D7F4A75-DB92-455F-8CC2-F5AFCA72AB69}" name="C/W (KGS.)" dataDxfId="82" dataCellStyle="Normal 2"/>
    <tableColumn id="47" xr3:uid="{4488A0F4-F0C0-447F-9AD3-60969223392F}" name="QTY" dataDxfId="81" dataCellStyle="Normal 2"/>
    <tableColumn id="48" xr3:uid="{A33B12E7-E43A-40CA-A31D-9188581574EA}" name="PACK TYPE" dataDxfId="80" dataCellStyle="Normal 2"/>
    <tableColumn id="49" xr3:uid="{C6A71F0C-B053-41F4-AF69-3BA7CDB2F741}" name="Invoice (AED)" dataDxfId="79" dataCellStyle="Normal 2"/>
    <tableColumn id="50" xr3:uid="{8208C378-D126-4519-898D-9A174ED8D474}" name="SHIPMENT REMARKS/UPDATES" dataDxfId="78" dataCellStyle="Normal 2"/>
    <tableColumn id="51" xr3:uid="{5C439F4D-DE26-4270-853D-B50605BBBC8E}" name="P/A Sent" dataDxfId="77" dataCellStyle="Normal 2"/>
    <tableColumn id="52" xr3:uid="{59C414F1-0935-4111-89AC-B5968FE5D2B5}" name="D/N" dataDxfId="76"/>
    <tableColumn id="53" xr3:uid="{F8361416-C3D8-41E4-AA67-5B99476565F3}" name="ON TIME ORDER PLACEMENT PERF %" dataDxfId="75" dataCellStyle="Normal 2">
      <calculatedColumnFormula>IF(Table1[[#This Row],[PO APPR DATE]]&gt;0,IF(Table1[[#This Row],[PO APPR DATE]]-Table1[[#This Row],[PR APPR DATE]]&lt;=5,1,1-ABS(Table1[[#This Row],[PO APPR DATE]]-Table1[[#This Row],[PR APPR DATE]])/5),0)</calculatedColumnFormula>
    </tableColumn>
    <tableColumn id="54" xr3:uid="{9A2E56D0-0B53-4398-8213-C18C5451BEE4}" name="Supplier committed product readiness performance % " dataDxfId="74" dataCellStyle="Normal 2">
      <calculatedColumnFormula array="1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calculatedColumnFormula>
    </tableColumn>
    <tableColumn id="55" xr3:uid="{BAC8C0CF-9057-4338-B1CF-63626DCF0F25}" name="ISS container booking performance %" dataDxfId="73" dataCellStyle="Normal 2">
      <calculatedColumnFormula>IFERROR(IF(AND(Table1[[#This Row],[ETD]]&gt;0,Table1[[#This Row],[No of Days ISS Cont Booking LT]]&gt;0),IF((Table1[[#This Row],[ETD]]-Table1[[#This Row],[CRD]])&lt;=7,1,1-ABS(Table1[[#This Row],[ETD]]-Table1[[#This Row],[CRD]])/7),0),"")</calculatedColumnFormula>
    </tableColumn>
    <tableColumn id="56" xr3:uid="{3E77A9B4-B494-492F-B9B2-75731907F4C2}" name="ISS Transit Lead Time Perf %" dataDxfId="72" dataCellStyle="Normal 2">
      <calculatedColumnFormula array="1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calculatedColumnFormula>
    </tableColumn>
    <tableColumn id="57" xr3:uid="{17A591B7-312B-4CE8-ABA6-88A618B306A6}" name="ISS custom clearance Perf % " dataDxfId="71" dataCellStyle="Normal 2">
      <calculatedColumnFormula array="1">_xlfn.IFS(Table1[[#This Row],[DEL]]="",0,ISBLANK(Table1[[#This Row],[DEL]]),0,Table1[[#This Row],[DEL]]-Table1[[#This Row],[ETA]]&lt;=3,1,(Table1[[#This Row],[DEL]]-Table1[[#This Row],[ETA]])&gt;3,1-ABS(Table1[[#This Row],[DEL]]-Table1[[#This Row],[ETA]])/3)</calculatedColumnFormula>
    </tableColumn>
    <tableColumn id="58" xr3:uid="{42A13DBA-481C-4A22-A1F3-0D231E2471D1}" name="E2E TOTAL LEAD TIME ACCURACY" dataDxfId="70" dataCellStyle="Normal 2">
      <calculatedColumnFormula>IFERROR(IF(Table1[[#This Row],[E2E Total LT]]&gt;0,1-ABS(Table1[[#This Row],[E2E Total LT]]-Table1[[#This Row],[No of Days Total Comm LT (as per contract)]])/Table1[[#This Row],[No of Days Total Comm LT (as per contract)]],0),"")</calculatedColumnFormula>
    </tableColumn>
    <tableColumn id="59" xr3:uid="{45DBCED1-2879-4386-B176-DA210437591E}" name="No of Days Total Comm LT (as per contract)" dataDxfId="69" dataCellStyle="Normal 2">
      <calculatedColumnFormula array="1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calculatedColumnFormula>
    </tableColumn>
    <tableColumn id="60" xr3:uid="{6D5E74EB-1AB3-4BB1-95B1-FC79C5E71AF1}" name="Actual Lead (PO to Date)" dataDxfId="68" dataCellStyle="Normal 2">
      <calculatedColumnFormula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calculatedColumnFormula>
    </tableColumn>
    <tableColumn id="61" xr3:uid="{A0B3A9A4-F930-4FEE-B07B-D9C35DCFCCE2}" name="HEALTH CHECK" dataDxfId="67" dataCellStyle="Normal 2">
      <calculatedColumnFormula array="1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calculatedColumnFormula>
    </tableColumn>
    <tableColumn id="62" xr3:uid="{E5FA94FE-07F6-43B9-A1B2-8C9A314DEDD5}" name="REASON CODE" dataDxfId="66" dataCellStyle="Normal 2">
      <calculatedColumnFormula array="1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calculatedColumnFormula>
    </tableColumn>
    <tableColumn id="63" xr3:uid="{E1F5ED25-B675-4614-A236-0E17632EECB1}" name="No of Days Order Placement LT" dataDxfId="65" dataCellStyle="Normal 2">
      <calculatedColumnFormula array="1">_xlfn.IFS(ISBLANK(Table1[[#This Row],[PR APPR DATE]]),0,ISBLANK(Table1[[#This Row],[PO APPR DATE]]),0,ISNONTEXT(Table1[[#This Row],[PO APPR DATE]]),Table1[[#This Row],[PO APPR DATE]]-Table1[[#This Row],[PR APPR DATE]])</calculatedColumnFormula>
    </tableColumn>
    <tableColumn id="64" xr3:uid="{00A8CBC0-82AC-4EA3-B56F-7CCA6A009208}" name="No of Days Supplier Production Lead Time" dataDxfId="64" dataCellStyle="Normal 2">
      <calculatedColumnFormula array="1">_xlfn.IFS((Table1[[#This Row],[DEL]])="",0,ISBLANK(Table1[[#This Row],[CRD]]),0,ISBLANK(Table1[[#This Row],[PO APPR DATE]]),0,ISNONTEXT(Table1[[#This Row],[PO APPR DATE]]),Table1[[#This Row],[CRD]]-Table1[[#This Row],[PO APPR DATE]])</calculatedColumnFormula>
    </tableColumn>
    <tableColumn id="65" xr3:uid="{69947F32-FDEF-413C-AE58-98329B6FC3A2}" name="No of Days Custom Clearance LT" dataDxfId="63" dataCellStyle="Normal 2">
      <calculatedColumnFormula>IFERROR(IF(Table1[[#This Row],[DEL]]&gt;0,Table1[[#This Row],[DEL]]-Table1[[#This Row],[ETA]],0),0)</calculatedColumnFormula>
    </tableColumn>
    <tableColumn id="66" xr3:uid="{C8CD4BAF-4F3E-4F51-9952-E29BA3AEBE2E}" name="No of Days ISS Cont Booking LT" dataDxfId="62" dataCellStyle="Normal 2">
      <calculatedColumnFormula>IFERROR(IF(Table1[[#This Row],[ETD]]&gt;0,(Table1[[#This Row],[ETD]]-Table1[[#This Row],[CRD]]),0),"")</calculatedColumnFormula>
    </tableColumn>
    <tableColumn id="67" xr3:uid="{138F12CE-700E-4DAF-8521-307A2E87E400}" name="No of Days Transit LT" dataDxfId="61" dataCellStyle="Normal 2">
      <calculatedColumnFormula>IFERROR(IF(Table1[[#This Row],[ETA]]&gt;0,(Table1[[#This Row],[ETA]]-Table1[[#This Row],[ETD]]),0),0)</calculatedColumnFormula>
    </tableColumn>
    <tableColumn id="68" xr3:uid="{375B54EE-D61A-4C6A-A57E-D76677838929}" name="E2E Total LT" dataDxfId="60" dataCellStyle="Normal 2">
      <calculatedColumnFormula array="1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calculatedColumnFormula>
    </tableColumn>
    <tableColumn id="69" xr3:uid="{35331A8B-A65C-473A-8FFA-ECF77EF4B7C2}" name="ORG CHARGES (USD)" dataDxfId="59" dataCellStyle="Normal 2">
      <calculatedColumnFormula>Table1[[#This Row],[ORG CHGS (AED)]]/3.673</calculatedColumnFormula>
    </tableColumn>
    <tableColumn id="70" xr3:uid="{91E5C04E-1F3F-43E1-A5EF-2772DD4CCDD3}" name="FRT CHGS (USD)" dataDxfId="58" dataCellStyle="Normal 2">
      <calculatedColumnFormula>Table1[[#This Row],[FRT CHGS (AED)]]/3.673</calculatedColumnFormula>
    </tableColumn>
    <tableColumn id="71" xr3:uid="{638FCF1F-A81B-4456-962A-F40B15867425}" name="DEST CHARGES (USD)" dataDxfId="57" dataCellStyle="Normal 2">
      <calculatedColumnFormula>Table1[[#This Row],[DEST CHGS (AED)]]/3.673</calculatedColumnFormula>
    </tableColumn>
    <tableColumn id="72" xr3:uid="{092C1DF6-8FC8-4709-B8E9-4FA00CFCE182}" name="Ancillary Charges (AED)" dataDxfId="56" dataCellStyle="Normal 2"/>
    <tableColumn id="73" xr3:uid="{3911D3AA-4FA3-422B-8B1D-6813ADBE396E}" name="Ancillary Charge Type" dataDxfId="55" dataCellStyle="Normal 2"/>
    <tableColumn id="74" xr3:uid="{AF67A115-0F97-45B2-869B-F0DBB8E740B2}" name="ORG CHGS (AED)" dataDxfId="54" dataCellStyle="Normal 2"/>
    <tableColumn id="75" xr3:uid="{71D41C3C-3152-4CC3-BC73-4C8E0C8B9CE3}" name="FRT CHGS (AED)" dataDxfId="53" dataCellStyle="Normal 2"/>
    <tableColumn id="76" xr3:uid="{C3D7933E-10F7-4100-A645-3D4441C01EA4}" name="DEST CHGS (AED)" dataDxfId="52" dataCellStyle="Normal 2"/>
    <tableColumn id="77" xr3:uid="{3EB4A851-0CBA-4351-9CD6-1BEBB1DD7DB0}" name="P2P VALUE" dataDxfId="51" dataCellStyle="Normal 2">
      <calculatedColumnFormula>SUM(Table1[[#This Row],[ORG CHGS (AED)]],Table1[[#This Row],[FRT CHGS (AED)]],Table1[[#This Row],[DEST CHGS (AED)]])</calculatedColumnFormula>
    </tableColumn>
    <tableColumn id="78" xr3:uid="{8852B1B3-B0B2-43DD-BE0A-03462D46ACFC}" name="TOTAL CHARGES (AED)" dataDxfId="50" dataCellStyle="Normal 2">
      <calculatedColumnFormula>SUM(Table1[[#This Row],[P2P VALUE]]+Table1[[#This Row],[Ancillary Charges (AED)]])</calculatedColumnFormula>
    </tableColumn>
    <tableColumn id="79" xr3:uid="{1B754E21-F5BA-4A8F-866C-2131E603B1FF}" name="REQUISITION / BILLING NOTES" dataDxfId="49" dataCellStyle="Normal 2"/>
    <tableColumn id="80" xr3:uid="{06300624-25D6-4CD0-BDD1-903422CEF731}" name="PR #" dataDxfId="48" dataCellStyle="Normal 2"/>
    <tableColumn id="81" xr3:uid="{5434DED5-340F-4CED-BBDB-7F986422123B}" name="PR DATE" dataDxfId="47" dataCellStyle="Normal 2"/>
    <tableColumn id="82" xr3:uid="{C48762AF-B0A7-4A09-B3F5-F6D35988A63D}" name="REQ STATUS" dataDxfId="46" dataCellStyle="Normal 2">
      <calculatedColumnFormula>IF(ISBLANK(Table1[[#This Row],[PR DATE]]),"Pending","Logged")</calculatedColumnFormula>
    </tableColumn>
    <tableColumn id="83" xr3:uid="{96F2121F-4E35-4F77-B121-C1ED2EC17D00}" name="SPO #" dataDxfId="45" dataCellStyle="Normal 2"/>
    <tableColumn id="84" xr3:uid="{6F1E2260-ADA1-45CD-9B00-4A387E9FD92B}" name="PO STATUS" dataDxfId="44" dataCellStyle="Normal 2">
      <calculatedColumnFormula>IF(ISBLANK(Table1[[#This Row],[SPO '#]]),"Pending","Received")</calculatedColumnFormula>
    </tableColumn>
    <tableColumn id="85" xr3:uid="{A32C7698-3880-439E-8100-878CA04B1692}" name="SPO /Inv Val(AED)" dataDxfId="43" dataCellStyle="Normal 2"/>
    <tableColumn id="86" xr3:uid="{4AECC57A-C999-4829-B5D0-8D6E2A126B99}" name="Sent to OPS" dataDxfId="42" dataCellStyle="Normal 2"/>
    <tableColumn id="87" xr3:uid="{72FF8B62-2D77-4EBD-ABF8-66993AB198DB}" name="Invoice #" dataDxfId="41" dataCellStyle="Normal 2"/>
    <tableColumn id="88" xr3:uid="{988B30AA-FF9C-49D2-B480-2D2C90FD9B25}" name="Billing Status" dataDxfId="40" dataCellStyle="Normal 2">
      <calculatedColumnFormula array="1">_xlfn.IFS(ISTEXT(Table1[[#This Row],[Invoice '#]]),"Billed",Table1[[#This Row],[PO STATUS]]="Received","Pending",Table1[[#This Row],[PO STATUS]]="Pending","Pending")</calculatedColumnFormula>
    </tableColumn>
    <tableColumn id="89" xr3:uid="{C4122234-94DC-4590-B5AA-D0BADFA04F7F}" name="Billing Month" dataDxfId="39" dataCellStyle="Normal 2"/>
    <tableColumn id="90" xr3:uid="{C79DD45C-94B1-4139-A24C-3F92337529AB}" name="GRN" dataDxfId="0" dataCellStyle="Normal 2"/>
    <tableColumn id="91" xr3:uid="{2E57A839-FC12-4AF9-AFFC-EB5D879533BB}" name="GRN STATUS" dataDxfId="38" dataCellStyle="Normal 2">
      <calculatedColumnFormula>IF(ISBLANK(Table1[[#This Row],[GRN]]),"Pending","Complete")</calculatedColumnFormula>
    </tableColumn>
    <tableColumn id="92" xr3:uid="{93748596-2C6F-44B9-82CC-36C1CE1A65AE}" name="PAYMENT STATUS" dataDxfId="37" dataCellStyle="Normal 2"/>
    <tableColumn id="93" xr3:uid="{B74173E5-F87F-479D-B9DD-52E2301E907B}" name="ADDL PO" dataDxfId="36" dataCellStyle="Normal 2"/>
    <tableColumn id="94" xr3:uid="{5AEE1461-10E8-4544-BC98-F0BF78130163}" name="ADDL INV CHGS" dataDxfId="35" dataCellStyle="Normal 2"/>
    <tableColumn id="95" xr3:uid="{E1C39018-9B05-4D62-AE72-010EC8A97D59}" name="ADDL INV #" dataDxfId="34" dataCellStyle="Normal 2"/>
    <tableColumn id="96" xr3:uid="{5EDBC595-054C-4284-8EF2-26828C346486}" name="ADDL PO GRN #" dataDxfId="33" dataCellStyle="Normal 2"/>
    <tableColumn id="97" xr3:uid="{2EA6C5A4-6AB6-430D-AA91-537A4A7BA1D0}" name="ADDL INV BILLING MONTH" dataDxfId="32" dataCellStyle="Normal 2"/>
    <tableColumn id="98" xr3:uid="{1B85013F-418A-42D7-9F6D-651BABC8851F}" name="ADDL INV PAYMENT STATUS" dataDxfId="31"/>
    <tableColumn id="99" xr3:uid="{BCEBA6BE-388E-4DBE-9168-27AA4D6F7D85}" name="Days Delayed - ETD" dataDxfId="30" dataCellStyle="Normal 2">
      <calculatedColumnFormula>IF(Table1[[#This Row],[DEL]]="","",Table1[[#This Row],[REVISED ETD]]-Table1[[#This Row],[ETD]])</calculatedColumnFormula>
    </tableColumn>
    <tableColumn id="100" xr3:uid="{AA3955E5-B842-4E35-A8B6-FBAB93348C3E}" name="Days Delayed - ETA" dataDxfId="29" dataCellStyle="Normal 2">
      <calculatedColumnFormula>IF(Table1[[#This Row],[DEL]]="","",Table1[[#This Row],[REVISED ETA]]-Table1[[#This Row],[ETA]])</calculatedColumnFormula>
    </tableColumn>
    <tableColumn id="101" xr3:uid="{69E6FADF-DC38-4A10-ABA2-26013F631D33}" name="RDD-ETA" dataDxfId="28" dataCellStyle="Normal 2">
      <calculatedColumnFormula>IF(Table1[[#This Row],[DEL]]="","",Table1[[#This Row],[ETA]]-Table1[[#This Row],[PO NEED BY DATE]])</calculatedColumnFormula>
    </tableColumn>
    <tableColumn id="102" xr3:uid="{1A1B205E-B029-48A5-B955-6419487703C8}" name="Invoice ( USD)" dataDxfId="27" dataCellStyle="Normal 2">
      <calculatedColumnFormula>Table1[[#This Row],[Invoice (AED)]]/3.673</calculatedColumnFormula>
    </tableColumn>
    <tableColumn id="103" xr3:uid="{425DFD4C-C0B5-4271-87A2-018B7CEFA8CB}" name="NBD TO CRD" dataDxfId="26">
      <calculatedColumnFormula array="1">_xlfn.IFS(Table1[[#This Row],[STATUS]]="Cancelled",,Table1[[#This Row],[STATUS]]="Pending",,Table1[[#This Row],[STATUS]]="Not Due",,ISNONTEXT(Table1[[#This Row],[CRD]]),Table1[[#This Row],[CRD]]-Table1[[#This Row],[PO NEED BY DATE]])</calculatedColumnFormula>
    </tableColumn>
    <tableColumn id="104" xr3:uid="{24D02CA5-9BEE-4529-A3F7-888C36C245D6}" name="PO TO CRD (Supplier Response)" dataDxfId="25">
      <calculatedColumnFormula>IF(Table1[[#This Row],[CRD]]&lt;&gt;"", Table1[[#This Row],[CRD]]-Table1[[#This Row],[PO CREATION DATE]], 0)</calculatedColumnFormula>
    </tableColumn>
    <tableColumn id="105" xr3:uid="{1C191EC6-F1C6-4E18-9C22-57E802A77B80}" name="CRD TO ETD" dataDxfId="24">
      <calculatedColumnFormula>IF(Table1[[#This Row],[REVISED ETD]]&lt;&gt;"", Table1[[#This Row],[REVISED ETD]]-Table1[[#This Row],[CRD]], Table1[[#This Row],[ETD]]-Table1[[#This Row],[CRD]])</calculatedColumnFormula>
    </tableColumn>
    <tableColumn id="106" xr3:uid="{9B24492E-3919-42B5-BA89-68608ECB6294}" name="ETD TO ETA" dataDxfId="23">
      <calculatedColumnFormula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calculatedColumnFormula>
    </tableColumn>
    <tableColumn id="107" xr3:uid="{A0409698-9F92-4C4B-B31E-0FB2A6AFD382}" name="ETA TO DEL" dataDxfId="22">
      <calculatedColumnFormula>IF(Table1[[#This Row],[REVISED ETA]]&lt;&gt;"", Table1[[#This Row],[DEL]]-Table1[[#This Row],[REVISED ETA]], Table1[[#This Row],[DEL]]-Table1[[#This Row],[ETA]])</calculatedColumnFormula>
    </tableColumn>
    <tableColumn id="108" xr3:uid="{A883B543-DDFA-4355-B208-E63A5F559CE3}" name="NBD TO ETA" dataDxfId="21">
      <calculatedColumnFormula array="1">_xlfn.IFS(Table1[[#This Row],[STATUS]]="Cancelled",,Table1[[#This Row],[STATUS]]="Pending",,Table1[[#This Row],[STATUS]]="Not Due",,ISNONTEXT(Table1[[#This Row],[ETD]]),Table1[[#This Row],[ETA]]-Table1[[#This Row],[PO NEED BY DATE]])</calculatedColumnFormula>
    </tableColumn>
    <tableColumn id="109" xr3:uid="{D2AD3D0B-4A11-41B6-9D01-A984B978B97D}" name="NBD TO DEL" dataDxfId="20">
      <calculatedColumnFormula>Table1[[#This Row],[PO NEED BY DATE]]-Table1[[#This Row],[DEL]]</calculatedColumnFormula>
    </tableColumn>
    <tableColumn id="110" xr3:uid="{BE23CF90-928B-4B3A-A629-8CFDC611F6D9}" name="AVERAGE LT" dataDxfId="19">
      <calculatedColumnFormula>SUM(Table1[[#This Row],[CRD TO ETD]],Table1[[#This Row],[ETD TO ETA]],Table1[[#This Row],[ETA TO DEL]],Table1[[#This Row],[NBD TO ETA]],Table1[[#This Row],[NBD TO DEL]])</calculatedColumnFormula>
    </tableColumn>
    <tableColumn id="111" xr3:uid="{48F23282-B97E-406F-9AD3-729EC30CF680}" name="BILLING REPORT" dataDxfId="18"/>
    <tableColumn id="112" xr3:uid="{14B6C8A2-D06E-4531-B196-4C38C1D70B49}" name="Ancilliary Charge Form No" dataDxfId="17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434F24-8424-49EF-88FE-F85767D0A2AD}" name="Table5" displayName="Table5" ref="A1:B132" totalsRowShown="0" headerRowDxfId="16" dataDxfId="15">
  <tableColumns count="2">
    <tableColumn id="1" xr3:uid="{0A416721-007E-4245-81EE-35850B216B69}" name="SHIPPER" dataDxfId="14"/>
    <tableColumn id="2" xr3:uid="{637C38D8-9FED-4755-992A-07CCBA1A55C9}" name="Average of LEAD TIM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ADFC-50BC-4B26-915B-220C7D4633B8}">
  <dimension ref="A1:DH11"/>
  <sheetViews>
    <sheetView tabSelected="1" topLeftCell="CE2" workbookViewId="0">
      <selection activeCell="CL9" sqref="CL9"/>
    </sheetView>
  </sheetViews>
  <sheetFormatPr defaultColWidth="10.7265625" defaultRowHeight="14.5" x14ac:dyDescent="0.35"/>
  <cols>
    <col min="2" max="2" width="32.81640625" bestFit="1" customWidth="1"/>
    <col min="3" max="3" width="55.7265625" bestFit="1" customWidth="1"/>
    <col min="4" max="4" width="13.54296875" bestFit="1" customWidth="1"/>
    <col min="5" max="5" width="16.08984375" customWidth="1"/>
    <col min="6" max="6" width="29.453125" customWidth="1"/>
    <col min="7" max="7" width="32.26953125" bestFit="1" customWidth="1"/>
    <col min="10" max="10" width="11.36328125" customWidth="1"/>
    <col min="11" max="11" width="14.6328125" bestFit="1" customWidth="1"/>
    <col min="12" max="12" width="17.1796875" bestFit="1" customWidth="1"/>
    <col min="13" max="13" width="13.08984375" customWidth="1"/>
    <col min="14" max="14" width="12.81640625" customWidth="1"/>
    <col min="15" max="15" width="13" customWidth="1"/>
    <col min="17" max="17" width="16.36328125" customWidth="1"/>
    <col min="18" max="18" width="14" customWidth="1"/>
    <col min="19" max="19" width="12.453125" customWidth="1"/>
    <col min="21" max="21" width="18.81640625" customWidth="1"/>
    <col min="22" max="23" width="10.7265625" style="22"/>
    <col min="24" max="24" width="11.36328125" style="22" customWidth="1"/>
    <col min="25" max="25" width="10.7265625" style="22"/>
    <col min="27" max="27" width="17.26953125" customWidth="1"/>
    <col min="28" max="28" width="18.26953125" customWidth="1"/>
    <col min="29" max="29" width="19.08984375" customWidth="1"/>
    <col min="30" max="30" width="13.90625" customWidth="1"/>
    <col min="31" max="31" width="16.1796875" customWidth="1"/>
    <col min="36" max="36" width="12.54296875" customWidth="1"/>
    <col min="38" max="38" width="12.36328125" customWidth="1"/>
    <col min="42" max="42" width="18.26953125" customWidth="1"/>
    <col min="43" max="43" width="25.453125" customWidth="1"/>
    <col min="45" max="46" width="11.26953125" style="41" customWidth="1"/>
    <col min="47" max="47" width="10.7265625" style="41"/>
    <col min="48" max="48" width="11.08984375" customWidth="1"/>
    <col min="49" max="49" width="12.81640625" style="41" customWidth="1"/>
    <col min="50" max="50" width="42.36328125" customWidth="1"/>
    <col min="53" max="53" width="30.1796875" style="44" customWidth="1"/>
    <col min="54" max="54" width="44.26953125" style="10" customWidth="1"/>
    <col min="55" max="55" width="31.1796875" style="44" customWidth="1"/>
    <col min="56" max="56" width="24" style="44" customWidth="1"/>
    <col min="57" max="57" width="24.7265625" style="44" customWidth="1"/>
    <col min="58" max="58" width="27.7265625" style="44" customWidth="1"/>
    <col min="59" max="59" width="35" style="46" customWidth="1"/>
    <col min="60" max="60" width="21" style="46" customWidth="1"/>
    <col min="61" max="61" width="14.54296875" customWidth="1"/>
    <col min="62" max="62" width="13.90625" customWidth="1"/>
    <col min="63" max="63" width="26" style="46" customWidth="1"/>
    <col min="64" max="64" width="34.81640625" style="46" customWidth="1"/>
    <col min="65" max="65" width="27.7265625" style="46" customWidth="1"/>
    <col min="66" max="66" width="26.90625" style="46" customWidth="1"/>
    <col min="67" max="67" width="18.81640625" style="46" customWidth="1"/>
    <col min="68" max="68" width="11.54296875" style="46" customWidth="1"/>
    <col min="69" max="69" width="18.7265625" style="48" customWidth="1"/>
    <col min="70" max="70" width="15.1796875" style="48" customWidth="1"/>
    <col min="71" max="71" width="19.26953125" style="48" customWidth="1"/>
    <col min="72" max="72" width="20.6328125" style="41" customWidth="1"/>
    <col min="73" max="73" width="19.1796875" customWidth="1"/>
    <col min="74" max="74" width="15.6328125" style="41" customWidth="1"/>
    <col min="75" max="75" width="15" style="41" customWidth="1"/>
    <col min="76" max="76" width="16.1796875" style="41" customWidth="1"/>
    <col min="77" max="77" width="10.90625" style="41" customWidth="1"/>
    <col min="78" max="78" width="19.81640625" style="41" customWidth="1"/>
    <col min="79" max="79" width="25.26953125" customWidth="1"/>
    <col min="82" max="82" width="12" customWidth="1"/>
    <col min="83" max="83" width="16.26953125" style="83" customWidth="1"/>
    <col min="84" max="84" width="11.08984375" customWidth="1"/>
    <col min="85" max="85" width="16.1796875" style="41" customWidth="1"/>
    <col min="86" max="86" width="11.6328125" customWidth="1"/>
    <col min="88" max="89" width="12.6328125" customWidth="1"/>
    <col min="90" max="90" width="26.7265625" customWidth="1"/>
    <col min="91" max="91" width="12.26953125" customWidth="1"/>
    <col min="92" max="92" width="16.1796875" customWidth="1"/>
    <col min="93" max="93" width="13.81640625" customWidth="1"/>
    <col min="94" max="94" width="14.90625" customWidth="1"/>
    <col min="95" max="95" width="14.7265625" customWidth="1"/>
    <col min="96" max="96" width="14.54296875" customWidth="1"/>
    <col min="97" max="97" width="22.36328125" customWidth="1"/>
    <col min="98" max="98" width="25.6328125" customWidth="1"/>
    <col min="99" max="99" width="17.26953125" style="22" customWidth="1"/>
    <col min="100" max="100" width="17.08984375" style="22" customWidth="1"/>
    <col min="101" max="101" width="10.7265625" style="22"/>
    <col min="102" max="102" width="13.36328125" style="41" customWidth="1"/>
    <col min="103" max="103" width="12.26953125" style="50" customWidth="1"/>
    <col min="104" max="104" width="26.7265625" style="50" customWidth="1"/>
    <col min="105" max="105" width="11.81640625" style="50" customWidth="1"/>
    <col min="106" max="107" width="11.1796875" style="50" customWidth="1"/>
    <col min="108" max="108" width="11.6328125" style="50" customWidth="1"/>
    <col min="109" max="109" width="11.81640625" style="50" customWidth="1"/>
    <col min="110" max="110" width="11.81640625" style="52" customWidth="1"/>
    <col min="111" max="111" width="15" customWidth="1"/>
    <col min="112" max="112" width="22.453125" customWidth="1"/>
  </cols>
  <sheetData>
    <row r="1" spans="1:112" s="7" customFormat="1" ht="37.5" customHeight="1" x14ac:dyDescent="0.35">
      <c r="A1" s="7" t="s">
        <v>112</v>
      </c>
      <c r="B1" s="2" t="s">
        <v>0</v>
      </c>
      <c r="C1" s="2" t="s">
        <v>1</v>
      </c>
      <c r="D1" s="2" t="s">
        <v>2</v>
      </c>
      <c r="E1" s="3" t="s">
        <v>3</v>
      </c>
      <c r="F1" s="54" t="s">
        <v>4</v>
      </c>
      <c r="G1" s="55" t="s">
        <v>5</v>
      </c>
      <c r="H1" s="56" t="s">
        <v>6</v>
      </c>
      <c r="I1" s="54" t="s">
        <v>7</v>
      </c>
      <c r="J1" s="54" t="s">
        <v>8</v>
      </c>
      <c r="K1" s="54" t="s">
        <v>9</v>
      </c>
      <c r="L1" s="55" t="s">
        <v>10</v>
      </c>
      <c r="M1" s="55" t="s">
        <v>11</v>
      </c>
      <c r="N1" s="57" t="s">
        <v>12</v>
      </c>
      <c r="O1" s="54" t="s">
        <v>13</v>
      </c>
      <c r="P1" s="54" t="s">
        <v>14</v>
      </c>
      <c r="Q1" s="54" t="s">
        <v>15</v>
      </c>
      <c r="R1" s="54" t="s">
        <v>16</v>
      </c>
      <c r="S1" s="54" t="s">
        <v>17</v>
      </c>
      <c r="T1" s="54" t="s">
        <v>18</v>
      </c>
      <c r="U1" s="54" t="s">
        <v>19</v>
      </c>
      <c r="V1" s="68" t="s">
        <v>20</v>
      </c>
      <c r="W1" s="68" t="s">
        <v>21</v>
      </c>
      <c r="X1" s="68" t="s">
        <v>22</v>
      </c>
      <c r="Y1" s="68" t="s">
        <v>23</v>
      </c>
      <c r="Z1" s="54" t="s">
        <v>24</v>
      </c>
      <c r="AA1" s="58" t="s">
        <v>25</v>
      </c>
      <c r="AB1" s="58" t="s">
        <v>26</v>
      </c>
      <c r="AC1" s="58" t="s">
        <v>27</v>
      </c>
      <c r="AD1" s="58" t="s">
        <v>28</v>
      </c>
      <c r="AE1" s="58" t="s">
        <v>29</v>
      </c>
      <c r="AF1" s="59" t="s">
        <v>30</v>
      </c>
      <c r="AG1" s="58" t="s">
        <v>31</v>
      </c>
      <c r="AH1" s="58" t="s">
        <v>32</v>
      </c>
      <c r="AI1" s="58" t="s">
        <v>33</v>
      </c>
      <c r="AJ1" s="58" t="s">
        <v>34</v>
      </c>
      <c r="AK1" s="58" t="s">
        <v>35</v>
      </c>
      <c r="AL1" s="58" t="s">
        <v>36</v>
      </c>
      <c r="AM1" s="4" t="s">
        <v>37</v>
      </c>
      <c r="AN1" s="58" t="s">
        <v>38</v>
      </c>
      <c r="AO1" s="5" t="s">
        <v>39</v>
      </c>
      <c r="AP1" s="54" t="s">
        <v>40</v>
      </c>
      <c r="AQ1" s="60" t="s">
        <v>41</v>
      </c>
      <c r="AR1" s="61" t="s">
        <v>42</v>
      </c>
      <c r="AS1" s="64" t="s">
        <v>43</v>
      </c>
      <c r="AT1" s="64" t="s">
        <v>44</v>
      </c>
      <c r="AU1" s="64" t="s">
        <v>45</v>
      </c>
      <c r="AV1" s="54" t="s">
        <v>46</v>
      </c>
      <c r="AW1" s="76" t="s">
        <v>47</v>
      </c>
      <c r="AX1" s="54" t="s">
        <v>49</v>
      </c>
      <c r="AY1" s="54" t="s">
        <v>50</v>
      </c>
      <c r="AZ1" s="5" t="s">
        <v>51</v>
      </c>
      <c r="BA1" s="62" t="s">
        <v>52</v>
      </c>
      <c r="BB1" s="62" t="s">
        <v>53</v>
      </c>
      <c r="BC1" s="62" t="s">
        <v>54</v>
      </c>
      <c r="BD1" s="62" t="s">
        <v>55</v>
      </c>
      <c r="BE1" s="62" t="s">
        <v>56</v>
      </c>
      <c r="BF1" s="62" t="s">
        <v>57</v>
      </c>
      <c r="BG1" s="63" t="s">
        <v>58</v>
      </c>
      <c r="BH1" s="63" t="s">
        <v>59</v>
      </c>
      <c r="BI1" s="54" t="s">
        <v>60</v>
      </c>
      <c r="BJ1" s="54" t="s">
        <v>61</v>
      </c>
      <c r="BK1" s="63" t="s">
        <v>62</v>
      </c>
      <c r="BL1" s="63" t="s">
        <v>323</v>
      </c>
      <c r="BM1" s="63" t="s">
        <v>322</v>
      </c>
      <c r="BN1" s="63" t="s">
        <v>325</v>
      </c>
      <c r="BO1" s="63" t="s">
        <v>324</v>
      </c>
      <c r="BP1" s="63" t="s">
        <v>63</v>
      </c>
      <c r="BQ1" s="64" t="s">
        <v>64</v>
      </c>
      <c r="BR1" s="64" t="s">
        <v>65</v>
      </c>
      <c r="BS1" s="64" t="s">
        <v>66</v>
      </c>
      <c r="BT1" s="64" t="s">
        <v>67</v>
      </c>
      <c r="BU1" s="54" t="s">
        <v>68</v>
      </c>
      <c r="BV1" s="64" t="s">
        <v>70</v>
      </c>
      <c r="BW1" s="64" t="s">
        <v>71</v>
      </c>
      <c r="BX1" s="64" t="s">
        <v>72</v>
      </c>
      <c r="BY1" s="64" t="s">
        <v>73</v>
      </c>
      <c r="BZ1" s="64" t="s">
        <v>74</v>
      </c>
      <c r="CA1" s="54" t="s">
        <v>75</v>
      </c>
      <c r="CB1" s="65" t="s">
        <v>76</v>
      </c>
      <c r="CC1" s="59" t="s">
        <v>77</v>
      </c>
      <c r="CD1" s="54" t="s">
        <v>78</v>
      </c>
      <c r="CE1" s="81" t="s">
        <v>79</v>
      </c>
      <c r="CF1" s="54" t="s">
        <v>80</v>
      </c>
      <c r="CG1" s="64" t="s">
        <v>81</v>
      </c>
      <c r="CH1" s="54" t="s">
        <v>82</v>
      </c>
      <c r="CI1" s="54" t="s">
        <v>83</v>
      </c>
      <c r="CJ1" s="54" t="s">
        <v>84</v>
      </c>
      <c r="CK1" s="54" t="s">
        <v>85</v>
      </c>
      <c r="CL1" s="54" t="s">
        <v>86</v>
      </c>
      <c r="CM1" s="54" t="s">
        <v>87</v>
      </c>
      <c r="CN1" s="54" t="s">
        <v>88</v>
      </c>
      <c r="CO1" s="66" t="s">
        <v>89</v>
      </c>
      <c r="CP1" s="54" t="s">
        <v>90</v>
      </c>
      <c r="CQ1" s="54" t="s">
        <v>91</v>
      </c>
      <c r="CR1" s="67" t="s">
        <v>92</v>
      </c>
      <c r="CS1" s="58" t="s">
        <v>93</v>
      </c>
      <c r="CT1" s="6" t="s">
        <v>94</v>
      </c>
      <c r="CU1" s="68" t="s">
        <v>95</v>
      </c>
      <c r="CV1" s="68" t="s">
        <v>96</v>
      </c>
      <c r="CW1" s="68" t="s">
        <v>97</v>
      </c>
      <c r="CX1" s="64" t="s">
        <v>48</v>
      </c>
      <c r="CY1" s="69" t="s">
        <v>98</v>
      </c>
      <c r="CZ1" s="69" t="s">
        <v>99</v>
      </c>
      <c r="DA1" s="69" t="s">
        <v>100</v>
      </c>
      <c r="DB1" s="69" t="s">
        <v>101</v>
      </c>
      <c r="DC1" s="69" t="s">
        <v>102</v>
      </c>
      <c r="DD1" s="69" t="s">
        <v>103</v>
      </c>
      <c r="DE1" s="69" t="s">
        <v>104</v>
      </c>
      <c r="DF1" s="70" t="s">
        <v>105</v>
      </c>
      <c r="DG1" s="71" t="s">
        <v>106</v>
      </c>
      <c r="DH1" s="54" t="s">
        <v>69</v>
      </c>
    </row>
    <row r="2" spans="1:112" s="7" customFormat="1" ht="37.5" customHeight="1" x14ac:dyDescent="0.35">
      <c r="C2" t="s">
        <v>107</v>
      </c>
      <c r="D2" t="s">
        <v>342</v>
      </c>
      <c r="E2" s="23"/>
      <c r="F2" t="s">
        <v>343</v>
      </c>
      <c r="G2" t="s">
        <v>110</v>
      </c>
      <c r="H2" s="26"/>
      <c r="I2" s="24"/>
      <c r="J2" s="24"/>
      <c r="K2" s="24"/>
      <c r="L2" s="25"/>
      <c r="M2" s="25"/>
      <c r="N2" s="27"/>
      <c r="O2" s="24"/>
      <c r="P2" s="24"/>
      <c r="Q2" s="24"/>
      <c r="R2" s="24"/>
      <c r="S2" s="24"/>
      <c r="T2" s="24"/>
      <c r="U2" s="24"/>
      <c r="V2" s="43"/>
      <c r="W2" s="43"/>
      <c r="X2" s="43"/>
      <c r="Y2" s="43"/>
      <c r="Z2" s="24"/>
      <c r="AA2" s="8">
        <v>45939</v>
      </c>
      <c r="AB2" s="8">
        <v>45944</v>
      </c>
      <c r="AC2" s="8">
        <v>45945</v>
      </c>
      <c r="AD2" s="8">
        <v>45946</v>
      </c>
      <c r="AE2" s="8">
        <v>46019</v>
      </c>
      <c r="AF2" s="29"/>
      <c r="AG2" s="30"/>
      <c r="AH2" s="30"/>
      <c r="AI2" s="30"/>
      <c r="AJ2" s="30"/>
      <c r="AK2" s="30"/>
      <c r="AL2" s="30"/>
      <c r="AM2" s="31"/>
      <c r="AN2" s="30"/>
      <c r="AO2" t="s">
        <v>111</v>
      </c>
      <c r="AP2" s="24"/>
      <c r="AQ2">
        <v>43200</v>
      </c>
      <c r="AR2" s="73"/>
      <c r="AS2" s="42"/>
      <c r="AT2" s="42"/>
      <c r="AU2" s="42"/>
      <c r="AV2" s="24"/>
      <c r="AW2" s="77"/>
      <c r="AX2" s="24"/>
      <c r="AY2" s="24"/>
      <c r="AZ2" s="32"/>
      <c r="BA2" s="45">
        <f>IF(Table1[[#This Row],[PO APPR DATE]]&gt;0,IF(Table1[[#This Row],[PO APPR DATE]]-Table1[[#This Row],[PR APPR DATE]]&lt;=5,1,1-ABS(Table1[[#This Row],[PO APPR DATE]]-Table1[[#This Row],[PR APPR DATE]])/5),0)</f>
        <v>1</v>
      </c>
      <c r="BB2" s="40" cm="1">
        <f t="array" ref="BB2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2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2" s="45" cm="1">
        <f t="array" ref="BD2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2" s="45" cm="1">
        <f t="array" ref="BE2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2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2" s="47" cm="1">
        <f t="array" ref="BG2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2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5</v>
      </c>
      <c r="BI2" s="24" t="str" cm="1">
        <f t="array" ref="BI2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2" s="24" t="str" cm="1">
        <f t="array" ref="BJ2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2" s="47" cm="1">
        <f t="array" ref="BK2">_xlfn.IFS(ISBLANK(Table1[[#This Row],[PR APPR DATE]]),0,ISBLANK(Table1[[#This Row],[PO APPR DATE]]),0,ISNONTEXT(Table1[[#This Row],[PO APPR DATE]]),Table1[[#This Row],[PO APPR DATE]]-Table1[[#This Row],[PR APPR DATE]])</f>
        <v>5</v>
      </c>
      <c r="BL2" s="47" cm="1">
        <f t="array" ref="BL2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2" s="47">
        <f>IFERROR(IF(Table1[[#This Row],[DEL]]&gt;0,Table1[[#This Row],[DEL]]-Table1[[#This Row],[ETA]],0),0)</f>
        <v>0</v>
      </c>
      <c r="BN2" s="47">
        <f>IFERROR(IF(Table1[[#This Row],[ETD]]&gt;0,(Table1[[#This Row],[ETD]]-Table1[[#This Row],[CRD]]),0),"")</f>
        <v>0</v>
      </c>
      <c r="BO2" s="47">
        <f>IFERROR(IF(Table1[[#This Row],[ETA]]&gt;0,(Table1[[#This Row],[ETA]]-Table1[[#This Row],[ETD]]),0),0)</f>
        <v>0</v>
      </c>
      <c r="BP2" s="47" cm="1">
        <f t="array" ref="BP2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2" s="49">
        <f>Table1[[#This Row],[ORG CHGS (AED)]]/3.673</f>
        <v>0</v>
      </c>
      <c r="BR2" s="49">
        <f>Table1[[#This Row],[FRT CHGS (AED)]]/3.673</f>
        <v>0</v>
      </c>
      <c r="BS2" s="49">
        <f>Table1[[#This Row],[DEST CHGS (AED)]]/3.673</f>
        <v>0</v>
      </c>
      <c r="BT2" s="42"/>
      <c r="BU2" s="24"/>
      <c r="BV2" s="42"/>
      <c r="BW2" s="42"/>
      <c r="BX2" s="42"/>
      <c r="BY2" s="42">
        <f>SUM(Table1[[#This Row],[ORG CHGS (AED)]],Table1[[#This Row],[FRT CHGS (AED)]],Table1[[#This Row],[DEST CHGS (AED)]])</f>
        <v>0</v>
      </c>
      <c r="BZ2" s="42">
        <f>SUM(Table1[[#This Row],[P2P VALUE]]+Table1[[#This Row],[Ancillary Charges (AED)]])</f>
        <v>0</v>
      </c>
      <c r="CA2" s="24"/>
      <c r="CB2" s="84"/>
      <c r="CC2" s="29"/>
      <c r="CD2" s="24" t="str">
        <f>IF(ISBLANK(Table1[[#This Row],[PR DATE]]),"Pending","Logged")</f>
        <v>Pending</v>
      </c>
      <c r="CE2" s="82"/>
      <c r="CF2" s="24" t="str">
        <f>IF(ISBLANK(Table1[[#This Row],[SPO '#]]),"Pending","Received")</f>
        <v>Pending</v>
      </c>
      <c r="CG2" s="42"/>
      <c r="CH2" s="24"/>
      <c r="CI2" s="24"/>
      <c r="CJ2" s="24" t="str" cm="1">
        <f t="array" ref="CJ2">_xlfn.IFS(ISTEXT(Table1[[#This Row],[Invoice '#]]),"Billed",Table1[[#This Row],[PO STATUS]]="Received","Pending",Table1[[#This Row],[PO STATUS]]="Pending","Pending")</f>
        <v>Pending</v>
      </c>
      <c r="CK2" s="24"/>
      <c r="CL2" s="82"/>
      <c r="CM2" s="24" t="str">
        <f>IF(ISBLANK(Table1[[#This Row],[GRN]]),"Pending","Complete")</f>
        <v>Pending</v>
      </c>
      <c r="CN2" s="24"/>
      <c r="CO2" s="35"/>
      <c r="CP2" s="24"/>
      <c r="CQ2" s="24"/>
      <c r="CR2" s="36"/>
      <c r="CS2" s="30"/>
      <c r="CT2" s="37"/>
      <c r="CU2" s="43" t="str">
        <f>IF(Table1[[#This Row],[DEL]]="","",Table1[[#This Row],[REVISED ETD]]-Table1[[#This Row],[ETD]])</f>
        <v/>
      </c>
      <c r="CV2" s="43" t="str">
        <f>IF(Table1[[#This Row],[DEL]]="","",Table1[[#This Row],[REVISED ETA]]-Table1[[#This Row],[ETA]])</f>
        <v/>
      </c>
      <c r="CW2" s="43" t="str">
        <f>IF(Table1[[#This Row],[DEL]]="","",Table1[[#This Row],[ETA]]-Table1[[#This Row],[PO NEED BY DATE]])</f>
        <v/>
      </c>
      <c r="CX2" s="42">
        <f>Table1[[#This Row],[Invoice (AED)]]/3.673</f>
        <v>0</v>
      </c>
      <c r="CY2" s="51" cm="1">
        <f t="array" ref="CY2">_xlfn.IFS(Table1[[#This Row],[STATUS]]="Cancelled",,Table1[[#This Row],[STATUS]]="Pending",,Table1[[#This Row],[STATUS]]="Not Due",,ISNONTEXT(Table1[[#This Row],[CRD]]),Table1[[#This Row],[CRD]]-Table1[[#This Row],[PO NEED BY DATE]])</f>
        <v>0</v>
      </c>
      <c r="CZ2" s="51">
        <f>IF(Table1[[#This Row],[CRD]]&lt;&gt;"", Table1[[#This Row],[CRD]]-Table1[[#This Row],[PO CREATION DATE]], 0)</f>
        <v>0</v>
      </c>
      <c r="DA2" s="51">
        <f>IF(Table1[[#This Row],[REVISED ETD]]&lt;&gt;"", Table1[[#This Row],[REVISED ETD]]-Table1[[#This Row],[CRD]], Table1[[#This Row],[ETD]]-Table1[[#This Row],[CRD]])</f>
        <v>0</v>
      </c>
      <c r="DB2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2" s="51">
        <f>IF(Table1[[#This Row],[REVISED ETA]]&lt;&gt;"", Table1[[#This Row],[DEL]]-Table1[[#This Row],[REVISED ETA]], Table1[[#This Row],[DEL]]-Table1[[#This Row],[ETA]])</f>
        <v>0</v>
      </c>
      <c r="DD2" s="51" cm="1">
        <f t="array" ref="DD2">_xlfn.IFS(Table1[[#This Row],[STATUS]]="Cancelled",,Table1[[#This Row],[STATUS]]="Pending",,Table1[[#This Row],[STATUS]]="Not Due",,ISNONTEXT(Table1[[#This Row],[ETD]]),Table1[[#This Row],[ETA]]-Table1[[#This Row],[PO NEED BY DATE]])</f>
        <v>0</v>
      </c>
      <c r="DE2" s="51">
        <f>Table1[[#This Row],[PO NEED BY DATE]]-Table1[[#This Row],[DEL]]</f>
        <v>46019</v>
      </c>
      <c r="DF2" s="53">
        <f>SUM(Table1[[#This Row],[CRD TO ETD]],Table1[[#This Row],[ETD TO ETA]],Table1[[#This Row],[ETA TO DEL]],Table1[[#This Row],[NBD TO ETA]],Table1[[#This Row],[NBD TO DEL]])</f>
        <v>46019</v>
      </c>
      <c r="DG2" s="38"/>
      <c r="DH2" s="24"/>
    </row>
    <row r="3" spans="1:112" x14ac:dyDescent="0.35">
      <c r="C3" t="s">
        <v>107</v>
      </c>
      <c r="D3" t="s">
        <v>108</v>
      </c>
      <c r="F3" t="s">
        <v>109</v>
      </c>
      <c r="G3" t="s">
        <v>110</v>
      </c>
      <c r="AA3" s="8">
        <v>45945</v>
      </c>
      <c r="AB3" s="8">
        <v>45945</v>
      </c>
      <c r="AC3" s="8">
        <v>45945</v>
      </c>
      <c r="AD3" s="8">
        <v>45947</v>
      </c>
      <c r="AE3" s="8">
        <v>46021</v>
      </c>
      <c r="AF3" s="8"/>
      <c r="AO3" t="s">
        <v>111</v>
      </c>
      <c r="AQ3">
        <v>42600</v>
      </c>
      <c r="BA3" s="44">
        <f>IF(Table1[[#This Row],[PO APPR DATE]]&gt;0,IF(Table1[[#This Row],[PO APPR DATE]]-Table1[[#This Row],[PR APPR DATE]]&lt;=5,1,1-ABS(Table1[[#This Row],[PO APPR DATE]]-Table1[[#This Row],[PR APPR DATE]])/5),0)</f>
        <v>1</v>
      </c>
      <c r="BB3" s="39" cm="1">
        <f t="array" ref="BB3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3" s="44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3" s="44" cm="1">
        <f t="array" ref="BD3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3" s="44" cm="1">
        <f t="array" ref="BE3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3" s="44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3" s="46" cm="1">
        <f t="array" ref="BG3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3" s="46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3" t="str" cm="1">
        <f t="array" ref="BI3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3" t="str" cm="1">
        <f t="array" ref="BJ3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3" s="46" cm="1">
        <f t="array" ref="BK3">_xlfn.IFS(ISBLANK(Table1[[#This Row],[PR APPR DATE]]),0,ISBLANK(Table1[[#This Row],[PO APPR DATE]]),0,ISNONTEXT(Table1[[#This Row],[PO APPR DATE]]),Table1[[#This Row],[PO APPR DATE]]-Table1[[#This Row],[PR APPR DATE]])</f>
        <v>0</v>
      </c>
      <c r="BL3" s="46" cm="1">
        <f t="array" ref="BL3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3" s="46">
        <f>IFERROR(IF(Table1[[#This Row],[DEL]]&gt;0,Table1[[#This Row],[DEL]]-Table1[[#This Row],[ETA]],0),0)</f>
        <v>0</v>
      </c>
      <c r="BN3" s="46">
        <f>IFERROR(IF(Table1[[#This Row],[ETD]]&gt;0,(Table1[[#This Row],[ETD]]-Table1[[#This Row],[CRD]]),0),"")</f>
        <v>0</v>
      </c>
      <c r="BO3" s="46">
        <f>IFERROR(IF(Table1[[#This Row],[ETA]]&gt;0,(Table1[[#This Row],[ETA]]-Table1[[#This Row],[ETD]]),0),0)</f>
        <v>0</v>
      </c>
      <c r="BP3" s="46" cm="1">
        <f t="array" ref="BP3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3" s="48">
        <f>Table1[[#This Row],[ORG CHGS (AED)]]/3.673</f>
        <v>0</v>
      </c>
      <c r="BR3" s="48">
        <f>Table1[[#This Row],[FRT CHGS (AED)]]/3.673</f>
        <v>0</v>
      </c>
      <c r="BS3" s="48">
        <f>Table1[[#This Row],[DEST CHGS (AED)]]/3.673</f>
        <v>0</v>
      </c>
      <c r="BY3" s="41">
        <f>SUM(Table1[[#This Row],[ORG CHGS (AED)]],Table1[[#This Row],[FRT CHGS (AED)]],Table1[[#This Row],[DEST CHGS (AED)]])</f>
        <v>0</v>
      </c>
      <c r="BZ3" s="41">
        <f>SUM(Table1[[#This Row],[P2P VALUE]]+Table1[[#This Row],[Ancillary Charges (AED)]])</f>
        <v>0</v>
      </c>
      <c r="CB3" s="83"/>
      <c r="CD3" t="str">
        <f>IF(ISBLANK(Table1[[#This Row],[PR DATE]]),"Pending","Logged")</f>
        <v>Pending</v>
      </c>
      <c r="CF3" t="str">
        <f>IF(ISBLANK(Table1[[#This Row],[SPO '#]]),"Pending","Received")</f>
        <v>Pending</v>
      </c>
      <c r="CJ3" t="str" cm="1">
        <f t="array" ref="CJ3">_xlfn.IFS(ISTEXT(Table1[[#This Row],[Invoice '#]]),"Billed",Table1[[#This Row],[PO STATUS]]="Received","Pending",Table1[[#This Row],[PO STATUS]]="Pending","Pending")</f>
        <v>Pending</v>
      </c>
      <c r="CL3" s="83"/>
      <c r="CM3" t="str">
        <f>IF(ISBLANK(Table1[[#This Row],[GRN]]),"Pending","Complete")</f>
        <v>Pending</v>
      </c>
      <c r="CU3" s="22" t="str">
        <f>IF(Table1[[#This Row],[DEL]]="","",Table1[[#This Row],[REVISED ETD]]-Table1[[#This Row],[ETD]])</f>
        <v/>
      </c>
      <c r="CV3" s="22" t="str">
        <f>IF(Table1[[#This Row],[DEL]]="","",Table1[[#This Row],[REVISED ETA]]-Table1[[#This Row],[ETA]])</f>
        <v/>
      </c>
      <c r="CW3" s="22" t="str">
        <f>IF(Table1[[#This Row],[DEL]]="","",Table1[[#This Row],[ETA]]-Table1[[#This Row],[PO NEED BY DATE]])</f>
        <v/>
      </c>
      <c r="CX3" s="41">
        <f>Table1[[#This Row],[Invoice (AED)]]/3.673</f>
        <v>0</v>
      </c>
      <c r="CY3" s="50" cm="1">
        <f t="array" ref="CY3">_xlfn.IFS(Table1[[#This Row],[STATUS]]="Cancelled",,Table1[[#This Row],[STATUS]]="Pending",,Table1[[#This Row],[STATUS]]="Not Due",,ISNONTEXT(Table1[[#This Row],[CRD]]),Table1[[#This Row],[CRD]]-Table1[[#This Row],[PO NEED BY DATE]])</f>
        <v>0</v>
      </c>
      <c r="CZ3" s="50">
        <f>IF(Table1[[#This Row],[CRD]]&lt;&gt;"", Table1[[#This Row],[CRD]]-Table1[[#This Row],[PO CREATION DATE]], 0)</f>
        <v>0</v>
      </c>
      <c r="DA3" s="50">
        <f>IF(Table1[[#This Row],[REVISED ETD]]&lt;&gt;"", Table1[[#This Row],[REVISED ETD]]-Table1[[#This Row],[CRD]], Table1[[#This Row],[ETD]]-Table1[[#This Row],[CRD]])</f>
        <v>0</v>
      </c>
      <c r="DB3" s="50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3" s="50">
        <f>IF(Table1[[#This Row],[REVISED ETA]]&lt;&gt;"", Table1[[#This Row],[DEL]]-Table1[[#This Row],[REVISED ETA]], Table1[[#This Row],[DEL]]-Table1[[#This Row],[ETA]])</f>
        <v>0</v>
      </c>
      <c r="DD3" s="50" cm="1">
        <f t="array" ref="DD3">_xlfn.IFS(Table1[[#This Row],[STATUS]]="Cancelled",,Table1[[#This Row],[STATUS]]="Pending",,Table1[[#This Row],[STATUS]]="Not Due",,ISNONTEXT(Table1[[#This Row],[ETD]]),Table1[[#This Row],[ETA]]-Table1[[#This Row],[PO NEED BY DATE]])</f>
        <v>0</v>
      </c>
      <c r="DE3" s="50">
        <f>Table1[[#This Row],[PO NEED BY DATE]]-Table1[[#This Row],[DEL]]</f>
        <v>46021</v>
      </c>
      <c r="DF3" s="52">
        <f>SUM(Table1[[#This Row],[CRD TO ETD]],Table1[[#This Row],[ETD TO ETA]],Table1[[#This Row],[ETA TO DEL]],Table1[[#This Row],[NBD TO ETA]],Table1[[#This Row],[NBD TO DEL]])</f>
        <v>46021</v>
      </c>
    </row>
    <row r="4" spans="1:112" x14ac:dyDescent="0.35">
      <c r="A4" s="7"/>
      <c r="B4" s="7"/>
      <c r="C4" s="7" t="s">
        <v>326</v>
      </c>
      <c r="D4" t="s">
        <v>327</v>
      </c>
      <c r="E4" s="23"/>
      <c r="F4" t="s">
        <v>328</v>
      </c>
      <c r="G4" t="s">
        <v>329</v>
      </c>
      <c r="H4" s="26"/>
      <c r="I4" s="24"/>
      <c r="J4" s="24"/>
      <c r="L4" s="25"/>
      <c r="M4" s="25"/>
      <c r="N4" s="27"/>
      <c r="O4" s="24"/>
      <c r="P4" s="24"/>
      <c r="Q4" s="24"/>
      <c r="R4" s="24"/>
      <c r="S4" s="24"/>
      <c r="T4" s="24"/>
      <c r="U4" s="24"/>
      <c r="V4" s="43"/>
      <c r="W4" s="43"/>
      <c r="X4" s="43"/>
      <c r="Y4" s="43"/>
      <c r="Z4" s="24"/>
      <c r="AA4" s="8">
        <v>45945</v>
      </c>
      <c r="AB4" s="8">
        <v>45945</v>
      </c>
      <c r="AC4" s="8">
        <v>45945</v>
      </c>
      <c r="AD4" s="8">
        <v>45947</v>
      </c>
      <c r="AE4" s="8">
        <v>45948</v>
      </c>
      <c r="AF4" s="29"/>
      <c r="AG4" s="30"/>
      <c r="AH4" s="30"/>
      <c r="AI4" s="30"/>
      <c r="AJ4" s="30"/>
      <c r="AK4" s="30"/>
      <c r="AL4" s="30"/>
      <c r="AM4" s="31"/>
      <c r="AN4" s="30"/>
      <c r="AO4" s="32" t="s">
        <v>330</v>
      </c>
      <c r="AP4" s="24"/>
      <c r="AQ4" s="32">
        <v>90000</v>
      </c>
      <c r="AR4" s="34"/>
      <c r="AS4" s="42"/>
      <c r="AT4" s="42"/>
      <c r="AU4" s="42"/>
      <c r="AV4" s="24"/>
      <c r="AW4" s="77"/>
      <c r="AX4" s="24"/>
      <c r="AY4" s="24"/>
      <c r="AZ4" s="32"/>
      <c r="BA4" s="45">
        <f>IF(Table1[[#This Row],[PO APPR DATE]]&gt;0,IF(Table1[[#This Row],[PO APPR DATE]]-Table1[[#This Row],[PR APPR DATE]]&lt;=5,1,1-ABS(Table1[[#This Row],[PO APPR DATE]]-Table1[[#This Row],[PR APPR DATE]])/5),0)</f>
        <v>1</v>
      </c>
      <c r="BB4" s="40" cm="1">
        <f t="array" ref="BB4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4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4" s="45" cm="1">
        <f t="array" ref="BD4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4" s="45" cm="1">
        <f t="array" ref="BE4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4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4" s="47" cm="1">
        <f t="array" ref="BG4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4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4" s="24" t="str" cm="1">
        <f t="array" ref="BI4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4" s="24" t="str" cm="1">
        <f t="array" ref="BJ4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4" s="47" cm="1">
        <f t="array" ref="BK4">_xlfn.IFS(ISBLANK(Table1[[#This Row],[PR APPR DATE]]),0,ISBLANK(Table1[[#This Row],[PO APPR DATE]]),0,ISNONTEXT(Table1[[#This Row],[PO APPR DATE]]),Table1[[#This Row],[PO APPR DATE]]-Table1[[#This Row],[PR APPR DATE]])</f>
        <v>0</v>
      </c>
      <c r="BL4" s="47" cm="1">
        <f t="array" ref="BL4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4" s="47">
        <f>IFERROR(IF(Table1[[#This Row],[DEL]]&gt;0,Table1[[#This Row],[DEL]]-Table1[[#This Row],[ETA]],0),0)</f>
        <v>0</v>
      </c>
      <c r="BN4" s="47">
        <f>IFERROR(IF(Table1[[#This Row],[ETD]]&gt;0,(Table1[[#This Row],[ETD]]-Table1[[#This Row],[CRD]]),0),"")</f>
        <v>0</v>
      </c>
      <c r="BO4" s="47">
        <f>IFERROR(IF(Table1[[#This Row],[ETA]]&gt;0,(Table1[[#This Row],[ETA]]-Table1[[#This Row],[ETD]]),0),0)</f>
        <v>0</v>
      </c>
      <c r="BP4" s="47" cm="1">
        <f t="array" ref="BP4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4" s="49">
        <f>Table1[[#This Row],[ORG CHGS (AED)]]/3.673</f>
        <v>0</v>
      </c>
      <c r="BR4" s="49">
        <f>Table1[[#This Row],[FRT CHGS (AED)]]/3.673</f>
        <v>0</v>
      </c>
      <c r="BS4" s="49">
        <f>Table1[[#This Row],[DEST CHGS (AED)]]/3.673</f>
        <v>0</v>
      </c>
      <c r="BT4" s="42"/>
      <c r="BU4" s="24"/>
      <c r="BV4" s="42"/>
      <c r="BW4" s="42"/>
      <c r="BX4" s="42"/>
      <c r="BY4" s="42">
        <f>SUM(Table1[[#This Row],[ORG CHGS (AED)]],Table1[[#This Row],[FRT CHGS (AED)]],Table1[[#This Row],[DEST CHGS (AED)]])</f>
        <v>0</v>
      </c>
      <c r="BZ4" s="42">
        <f>SUM(Table1[[#This Row],[P2P VALUE]]+Table1[[#This Row],[Ancillary Charges (AED)]])</f>
        <v>0</v>
      </c>
      <c r="CA4" s="24"/>
      <c r="CB4" s="84"/>
      <c r="CC4" s="29"/>
      <c r="CD4" s="24" t="str">
        <f>IF(ISBLANK(Table1[[#This Row],[PR DATE]]),"Pending","Logged")</f>
        <v>Pending</v>
      </c>
      <c r="CE4" s="82"/>
      <c r="CF4" s="24" t="str">
        <f>IF(ISBLANK(Table1[[#This Row],[SPO '#]]),"Pending","Received")</f>
        <v>Pending</v>
      </c>
      <c r="CG4" s="42"/>
      <c r="CH4" s="24"/>
      <c r="CI4" s="24"/>
      <c r="CJ4" s="24" t="str" cm="1">
        <f t="array" ref="CJ4">_xlfn.IFS(ISTEXT(Table1[[#This Row],[Invoice '#]]),"Billed",Table1[[#This Row],[PO STATUS]]="Received","Pending",Table1[[#This Row],[PO STATUS]]="Pending","Pending")</f>
        <v>Pending</v>
      </c>
      <c r="CK4" s="24"/>
      <c r="CL4" s="82"/>
      <c r="CM4" s="24" t="str">
        <f>IF(ISBLANK(Table1[[#This Row],[GRN]]),"Pending","Complete")</f>
        <v>Pending</v>
      </c>
      <c r="CN4" s="24"/>
      <c r="CO4" s="35"/>
      <c r="CP4" s="24"/>
      <c r="CQ4" s="24"/>
      <c r="CR4" s="36"/>
      <c r="CS4" s="30"/>
      <c r="CT4" s="37"/>
      <c r="CU4" s="43" t="str">
        <f>IF(Table1[[#This Row],[DEL]]="","",Table1[[#This Row],[REVISED ETD]]-Table1[[#This Row],[ETD]])</f>
        <v/>
      </c>
      <c r="CV4" s="43" t="str">
        <f>IF(Table1[[#This Row],[DEL]]="","",Table1[[#This Row],[REVISED ETA]]-Table1[[#This Row],[ETA]])</f>
        <v/>
      </c>
      <c r="CW4" s="43" t="str">
        <f>IF(Table1[[#This Row],[DEL]]="","",Table1[[#This Row],[ETA]]-Table1[[#This Row],[PO NEED BY DATE]])</f>
        <v/>
      </c>
      <c r="CX4" s="42">
        <f>Table1[[#This Row],[Invoice (AED)]]/3.673</f>
        <v>0</v>
      </c>
      <c r="CY4" s="51" cm="1">
        <f t="array" ref="CY4">_xlfn.IFS(Table1[[#This Row],[STATUS]]="Cancelled",,Table1[[#This Row],[STATUS]]="Pending",,Table1[[#This Row],[STATUS]]="Not Due",,ISNONTEXT(Table1[[#This Row],[CRD]]),Table1[[#This Row],[CRD]]-Table1[[#This Row],[PO NEED BY DATE]])</f>
        <v>0</v>
      </c>
      <c r="CZ4" s="51">
        <f>IF(Table1[[#This Row],[CRD]]&lt;&gt;"", Table1[[#This Row],[CRD]]-Table1[[#This Row],[PO CREATION DATE]], 0)</f>
        <v>0</v>
      </c>
      <c r="DA4" s="51">
        <f>IF(Table1[[#This Row],[REVISED ETD]]&lt;&gt;"", Table1[[#This Row],[REVISED ETD]]-Table1[[#This Row],[CRD]], Table1[[#This Row],[ETD]]-Table1[[#This Row],[CRD]])</f>
        <v>0</v>
      </c>
      <c r="DB4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4" s="51">
        <f>IF(Table1[[#This Row],[REVISED ETA]]&lt;&gt;"", Table1[[#This Row],[DEL]]-Table1[[#This Row],[REVISED ETA]], Table1[[#This Row],[DEL]]-Table1[[#This Row],[ETA]])</f>
        <v>0</v>
      </c>
      <c r="DD4" s="51" cm="1">
        <f t="array" ref="DD4">_xlfn.IFS(Table1[[#This Row],[STATUS]]="Cancelled",,Table1[[#This Row],[STATUS]]="Pending",,Table1[[#This Row],[STATUS]]="Not Due",,ISNONTEXT(Table1[[#This Row],[ETD]]),Table1[[#This Row],[ETA]]-Table1[[#This Row],[PO NEED BY DATE]])</f>
        <v>0</v>
      </c>
      <c r="DE4" s="51">
        <f>Table1[[#This Row],[PO NEED BY DATE]]-Table1[[#This Row],[DEL]]</f>
        <v>45948</v>
      </c>
      <c r="DF4" s="53">
        <f>SUM(Table1[[#This Row],[CRD TO ETD]],Table1[[#This Row],[ETD TO ETA]],Table1[[#This Row],[ETA TO DEL]],Table1[[#This Row],[NBD TO ETA]],Table1[[#This Row],[NBD TO DEL]])</f>
        <v>45948</v>
      </c>
      <c r="DG4" s="38"/>
      <c r="DH4" s="24"/>
    </row>
    <row r="5" spans="1:112" x14ac:dyDescent="0.35">
      <c r="A5" s="7"/>
      <c r="B5" s="7"/>
      <c r="C5" s="7" t="s">
        <v>331</v>
      </c>
      <c r="D5" t="s">
        <v>332</v>
      </c>
      <c r="E5" s="23"/>
      <c r="F5" t="s">
        <v>333</v>
      </c>
      <c r="G5" t="s">
        <v>336</v>
      </c>
      <c r="H5" s="26"/>
      <c r="I5" s="24"/>
      <c r="J5" s="24"/>
      <c r="L5" s="25"/>
      <c r="M5" s="25"/>
      <c r="N5" s="27"/>
      <c r="O5" s="24"/>
      <c r="P5" s="24"/>
      <c r="Q5" s="24"/>
      <c r="R5" s="24"/>
      <c r="S5" s="24"/>
      <c r="T5" s="24"/>
      <c r="U5" s="24"/>
      <c r="V5" s="43"/>
      <c r="W5" s="43"/>
      <c r="X5" s="43"/>
      <c r="Y5" s="43"/>
      <c r="Z5" s="24"/>
      <c r="AA5" s="8">
        <v>45945</v>
      </c>
      <c r="AB5" s="8">
        <v>45945</v>
      </c>
      <c r="AC5" s="8">
        <v>45945</v>
      </c>
      <c r="AD5" s="8">
        <v>45947</v>
      </c>
      <c r="AE5" s="8">
        <v>46119</v>
      </c>
      <c r="AF5" s="29"/>
      <c r="AG5" s="30"/>
      <c r="AH5" s="30"/>
      <c r="AI5" s="30"/>
      <c r="AJ5" s="30"/>
      <c r="AK5" s="30"/>
      <c r="AL5" s="30"/>
      <c r="AM5" s="31"/>
      <c r="AN5" s="30"/>
      <c r="AO5" s="32" t="s">
        <v>337</v>
      </c>
      <c r="AP5" s="24"/>
      <c r="AQ5" s="32">
        <v>478550</v>
      </c>
      <c r="AR5" s="34"/>
      <c r="AS5" s="42"/>
      <c r="AT5" s="42"/>
      <c r="AU5" s="42"/>
      <c r="AV5" s="24"/>
      <c r="AW5" s="77"/>
      <c r="AX5" s="24"/>
      <c r="AY5" s="24"/>
      <c r="AZ5" s="32"/>
      <c r="BA5" s="45">
        <f>IF(Table1[[#This Row],[PO APPR DATE]]&gt;0,IF(Table1[[#This Row],[PO APPR DATE]]-Table1[[#This Row],[PR APPR DATE]]&lt;=5,1,1-ABS(Table1[[#This Row],[PO APPR DATE]]-Table1[[#This Row],[PR APPR DATE]])/5),0)</f>
        <v>1</v>
      </c>
      <c r="BB5" s="40" cm="1">
        <f t="array" ref="BB5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5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5" s="45" cm="1">
        <f t="array" ref="BD5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5" s="45" cm="1">
        <f t="array" ref="BE5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5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5" s="47" cm="1">
        <f t="array" ref="BG5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5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5" s="24" t="str" cm="1">
        <f t="array" ref="BI5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5" s="24" t="str" cm="1">
        <f t="array" ref="BJ5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5" s="47" cm="1">
        <f t="array" ref="BK5">_xlfn.IFS(ISBLANK(Table1[[#This Row],[PR APPR DATE]]),0,ISBLANK(Table1[[#This Row],[PO APPR DATE]]),0,ISNONTEXT(Table1[[#This Row],[PO APPR DATE]]),Table1[[#This Row],[PO APPR DATE]]-Table1[[#This Row],[PR APPR DATE]])</f>
        <v>0</v>
      </c>
      <c r="BL5" s="47" cm="1">
        <f t="array" ref="BL5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5" s="47">
        <f>IFERROR(IF(Table1[[#This Row],[DEL]]&gt;0,Table1[[#This Row],[DEL]]-Table1[[#This Row],[ETA]],0),0)</f>
        <v>0</v>
      </c>
      <c r="BN5" s="47">
        <f>IFERROR(IF(Table1[[#This Row],[ETD]]&gt;0,(Table1[[#This Row],[ETD]]-Table1[[#This Row],[CRD]]),0),"")</f>
        <v>0</v>
      </c>
      <c r="BO5" s="47">
        <f>IFERROR(IF(Table1[[#This Row],[ETA]]&gt;0,(Table1[[#This Row],[ETA]]-Table1[[#This Row],[ETD]]),0),0)</f>
        <v>0</v>
      </c>
      <c r="BP5" s="47" cm="1">
        <f t="array" ref="BP5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5" s="49">
        <f>Table1[[#This Row],[ORG CHGS (AED)]]/3.673</f>
        <v>0</v>
      </c>
      <c r="BR5" s="49">
        <f>Table1[[#This Row],[FRT CHGS (AED)]]/3.673</f>
        <v>0</v>
      </c>
      <c r="BS5" s="49">
        <f>Table1[[#This Row],[DEST CHGS (AED)]]/3.673</f>
        <v>0</v>
      </c>
      <c r="BT5" s="42"/>
      <c r="BU5" s="24"/>
      <c r="BV5" s="42"/>
      <c r="BW5" s="42"/>
      <c r="BX5" s="42"/>
      <c r="BY5" s="42">
        <f>SUM(Table1[[#This Row],[ORG CHGS (AED)]],Table1[[#This Row],[FRT CHGS (AED)]],Table1[[#This Row],[DEST CHGS (AED)]])</f>
        <v>0</v>
      </c>
      <c r="BZ5" s="42">
        <f>SUM(Table1[[#This Row],[P2P VALUE]]+Table1[[#This Row],[Ancillary Charges (AED)]])</f>
        <v>0</v>
      </c>
      <c r="CA5" s="24"/>
      <c r="CB5" s="84"/>
      <c r="CC5" s="29"/>
      <c r="CD5" s="24" t="str">
        <f>IF(ISBLANK(Table1[[#This Row],[PR DATE]]),"Pending","Logged")</f>
        <v>Pending</v>
      </c>
      <c r="CE5" s="82"/>
      <c r="CF5" s="24" t="str">
        <f>IF(ISBLANK(Table1[[#This Row],[SPO '#]]),"Pending","Received")</f>
        <v>Pending</v>
      </c>
      <c r="CG5" s="42"/>
      <c r="CH5" s="24"/>
      <c r="CI5" s="24"/>
      <c r="CJ5" s="24" t="str" cm="1">
        <f t="array" ref="CJ5">_xlfn.IFS(ISTEXT(Table1[[#This Row],[Invoice '#]]),"Billed",Table1[[#This Row],[PO STATUS]]="Received","Pending",Table1[[#This Row],[PO STATUS]]="Pending","Pending")</f>
        <v>Pending</v>
      </c>
      <c r="CK5" s="24"/>
      <c r="CL5" s="82"/>
      <c r="CM5" s="24" t="str">
        <f>IF(ISBLANK(Table1[[#This Row],[GRN]]),"Pending","Complete")</f>
        <v>Pending</v>
      </c>
      <c r="CN5" s="24"/>
      <c r="CO5" s="35"/>
      <c r="CP5" s="24"/>
      <c r="CQ5" s="24"/>
      <c r="CR5" s="36"/>
      <c r="CS5" s="30"/>
      <c r="CT5" s="37"/>
      <c r="CU5" s="43" t="str">
        <f>IF(Table1[[#This Row],[DEL]]="","",Table1[[#This Row],[REVISED ETD]]-Table1[[#This Row],[ETD]])</f>
        <v/>
      </c>
      <c r="CV5" s="43" t="str">
        <f>IF(Table1[[#This Row],[DEL]]="","",Table1[[#This Row],[REVISED ETA]]-Table1[[#This Row],[ETA]])</f>
        <v/>
      </c>
      <c r="CW5" s="43" t="str">
        <f>IF(Table1[[#This Row],[DEL]]="","",Table1[[#This Row],[ETA]]-Table1[[#This Row],[PO NEED BY DATE]])</f>
        <v/>
      </c>
      <c r="CX5" s="42">
        <f>Table1[[#This Row],[Invoice (AED)]]/3.673</f>
        <v>0</v>
      </c>
      <c r="CY5" s="51" cm="1">
        <f t="array" ref="CY5">_xlfn.IFS(Table1[[#This Row],[STATUS]]="Cancelled",,Table1[[#This Row],[STATUS]]="Pending",,Table1[[#This Row],[STATUS]]="Not Due",,ISNONTEXT(Table1[[#This Row],[CRD]]),Table1[[#This Row],[CRD]]-Table1[[#This Row],[PO NEED BY DATE]])</f>
        <v>0</v>
      </c>
      <c r="CZ5" s="51">
        <f>IF(Table1[[#This Row],[CRD]]&lt;&gt;"", Table1[[#This Row],[CRD]]-Table1[[#This Row],[PO CREATION DATE]], 0)</f>
        <v>0</v>
      </c>
      <c r="DA5" s="51">
        <f>IF(Table1[[#This Row],[REVISED ETD]]&lt;&gt;"", Table1[[#This Row],[REVISED ETD]]-Table1[[#This Row],[CRD]], Table1[[#This Row],[ETD]]-Table1[[#This Row],[CRD]])</f>
        <v>0</v>
      </c>
      <c r="DB5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5" s="51">
        <f>IF(Table1[[#This Row],[REVISED ETA]]&lt;&gt;"", Table1[[#This Row],[DEL]]-Table1[[#This Row],[REVISED ETA]], Table1[[#This Row],[DEL]]-Table1[[#This Row],[ETA]])</f>
        <v>0</v>
      </c>
      <c r="DD5" s="51" cm="1">
        <f t="array" ref="DD5">_xlfn.IFS(Table1[[#This Row],[STATUS]]="Cancelled",,Table1[[#This Row],[STATUS]]="Pending",,Table1[[#This Row],[STATUS]]="Not Due",,ISNONTEXT(Table1[[#This Row],[ETD]]),Table1[[#This Row],[ETA]]-Table1[[#This Row],[PO NEED BY DATE]])</f>
        <v>0</v>
      </c>
      <c r="DE5" s="51">
        <f>Table1[[#This Row],[PO NEED BY DATE]]-Table1[[#This Row],[DEL]]</f>
        <v>46119</v>
      </c>
      <c r="DF5" s="53">
        <f>SUM(Table1[[#This Row],[CRD TO ETD]],Table1[[#This Row],[ETD TO ETA]],Table1[[#This Row],[ETA TO DEL]],Table1[[#This Row],[NBD TO ETA]],Table1[[#This Row],[NBD TO DEL]])</f>
        <v>46119</v>
      </c>
      <c r="DG5" s="38"/>
      <c r="DH5" s="24"/>
    </row>
    <row r="6" spans="1:112" x14ac:dyDescent="0.35">
      <c r="A6" s="7"/>
      <c r="B6" s="7"/>
      <c r="C6" s="7" t="s">
        <v>331</v>
      </c>
      <c r="D6" t="s">
        <v>332</v>
      </c>
      <c r="E6" s="23"/>
      <c r="F6" t="s">
        <v>334</v>
      </c>
      <c r="G6" t="s">
        <v>336</v>
      </c>
      <c r="H6" s="26"/>
      <c r="I6" s="24"/>
      <c r="J6" s="24"/>
      <c r="L6" s="25"/>
      <c r="M6" s="25"/>
      <c r="N6" s="27"/>
      <c r="O6" s="24"/>
      <c r="P6" s="24"/>
      <c r="Q6" s="24"/>
      <c r="R6" s="24"/>
      <c r="S6" s="24"/>
      <c r="T6" s="24"/>
      <c r="U6" s="24"/>
      <c r="V6" s="43"/>
      <c r="W6" s="43"/>
      <c r="X6" s="43"/>
      <c r="Y6" s="43"/>
      <c r="Z6" s="24"/>
      <c r="AA6" s="8">
        <v>45945</v>
      </c>
      <c r="AB6" s="8">
        <v>45945</v>
      </c>
      <c r="AC6" s="8">
        <v>45945</v>
      </c>
      <c r="AD6" s="8">
        <v>45947</v>
      </c>
      <c r="AE6" s="8">
        <v>46057</v>
      </c>
      <c r="AF6" s="29"/>
      <c r="AG6" s="30"/>
      <c r="AH6" s="30"/>
      <c r="AI6" s="30"/>
      <c r="AJ6" s="30"/>
      <c r="AK6" s="30"/>
      <c r="AL6" s="30"/>
      <c r="AM6" s="31"/>
      <c r="AN6" s="30"/>
      <c r="AO6" t="s">
        <v>111</v>
      </c>
      <c r="AP6" s="24"/>
      <c r="AQ6" s="32">
        <v>479000</v>
      </c>
      <c r="AR6" s="34"/>
      <c r="AS6" s="42"/>
      <c r="AT6" s="42"/>
      <c r="AU6" s="42"/>
      <c r="AV6" s="24"/>
      <c r="AW6" s="77"/>
      <c r="AX6" s="24"/>
      <c r="AY6" s="24"/>
      <c r="AZ6" s="32"/>
      <c r="BA6" s="45">
        <f>IF(Table1[[#This Row],[PO APPR DATE]]&gt;0,IF(Table1[[#This Row],[PO APPR DATE]]-Table1[[#This Row],[PR APPR DATE]]&lt;=5,1,1-ABS(Table1[[#This Row],[PO APPR DATE]]-Table1[[#This Row],[PR APPR DATE]])/5),0)</f>
        <v>1</v>
      </c>
      <c r="BB6" s="40" cm="1">
        <f t="array" ref="BB6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6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6" s="45" cm="1">
        <f t="array" ref="BD6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6" s="45" cm="1">
        <f t="array" ref="BE6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6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6" s="47" cm="1">
        <f t="array" ref="BG6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6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6" s="24" t="str" cm="1">
        <f t="array" ref="BI6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6" s="24" t="str" cm="1">
        <f t="array" ref="BJ6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6" s="47" cm="1">
        <f t="array" ref="BK6">_xlfn.IFS(ISBLANK(Table1[[#This Row],[PR APPR DATE]]),0,ISBLANK(Table1[[#This Row],[PO APPR DATE]]),0,ISNONTEXT(Table1[[#This Row],[PO APPR DATE]]),Table1[[#This Row],[PO APPR DATE]]-Table1[[#This Row],[PR APPR DATE]])</f>
        <v>0</v>
      </c>
      <c r="BL6" s="47" cm="1">
        <f t="array" ref="BL6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6" s="47">
        <f>IFERROR(IF(Table1[[#This Row],[DEL]]&gt;0,Table1[[#This Row],[DEL]]-Table1[[#This Row],[ETA]],0),0)</f>
        <v>0</v>
      </c>
      <c r="BN6" s="47">
        <f>IFERROR(IF(Table1[[#This Row],[ETD]]&gt;0,(Table1[[#This Row],[ETD]]-Table1[[#This Row],[CRD]]),0),"")</f>
        <v>0</v>
      </c>
      <c r="BO6" s="47">
        <f>IFERROR(IF(Table1[[#This Row],[ETA]]&gt;0,(Table1[[#This Row],[ETA]]-Table1[[#This Row],[ETD]]),0),0)</f>
        <v>0</v>
      </c>
      <c r="BP6" s="47" cm="1">
        <f t="array" ref="BP6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6" s="49">
        <f>Table1[[#This Row],[ORG CHGS (AED)]]/3.673</f>
        <v>0</v>
      </c>
      <c r="BR6" s="49">
        <f>Table1[[#This Row],[FRT CHGS (AED)]]/3.673</f>
        <v>0</v>
      </c>
      <c r="BS6" s="49">
        <f>Table1[[#This Row],[DEST CHGS (AED)]]/3.673</f>
        <v>0</v>
      </c>
      <c r="BT6" s="42"/>
      <c r="BU6" s="24"/>
      <c r="BV6" s="42"/>
      <c r="BW6" s="42"/>
      <c r="BX6" s="42"/>
      <c r="BY6" s="42">
        <f>SUM(Table1[[#This Row],[ORG CHGS (AED)]],Table1[[#This Row],[FRT CHGS (AED)]],Table1[[#This Row],[DEST CHGS (AED)]])</f>
        <v>0</v>
      </c>
      <c r="BZ6" s="42">
        <f>SUM(Table1[[#This Row],[P2P VALUE]]+Table1[[#This Row],[Ancillary Charges (AED)]])</f>
        <v>0</v>
      </c>
      <c r="CA6" s="24"/>
      <c r="CB6" s="84"/>
      <c r="CC6" s="29"/>
      <c r="CD6" s="24" t="str">
        <f>IF(ISBLANK(Table1[[#This Row],[PR DATE]]),"Pending","Logged")</f>
        <v>Pending</v>
      </c>
      <c r="CE6" s="82"/>
      <c r="CF6" s="24" t="str">
        <f>IF(ISBLANK(Table1[[#This Row],[SPO '#]]),"Pending","Received")</f>
        <v>Pending</v>
      </c>
      <c r="CG6" s="42"/>
      <c r="CH6" s="24"/>
      <c r="CI6" s="24"/>
      <c r="CJ6" s="24" t="str" cm="1">
        <f t="array" ref="CJ6">_xlfn.IFS(ISTEXT(Table1[[#This Row],[Invoice '#]]),"Billed",Table1[[#This Row],[PO STATUS]]="Received","Pending",Table1[[#This Row],[PO STATUS]]="Pending","Pending")</f>
        <v>Pending</v>
      </c>
      <c r="CK6" s="24"/>
      <c r="CL6" s="82"/>
      <c r="CM6" s="24" t="str">
        <f>IF(ISBLANK(Table1[[#This Row],[GRN]]),"Pending","Complete")</f>
        <v>Pending</v>
      </c>
      <c r="CN6" s="24"/>
      <c r="CO6" s="35"/>
      <c r="CP6" s="24"/>
      <c r="CQ6" s="24"/>
      <c r="CR6" s="36"/>
      <c r="CS6" s="30"/>
      <c r="CT6" s="37"/>
      <c r="CU6" s="43" t="str">
        <f>IF(Table1[[#This Row],[DEL]]="","",Table1[[#This Row],[REVISED ETD]]-Table1[[#This Row],[ETD]])</f>
        <v/>
      </c>
      <c r="CV6" s="43" t="str">
        <f>IF(Table1[[#This Row],[DEL]]="","",Table1[[#This Row],[REVISED ETA]]-Table1[[#This Row],[ETA]])</f>
        <v/>
      </c>
      <c r="CW6" s="43" t="str">
        <f>IF(Table1[[#This Row],[DEL]]="","",Table1[[#This Row],[ETA]]-Table1[[#This Row],[PO NEED BY DATE]])</f>
        <v/>
      </c>
      <c r="CX6" s="42">
        <f>Table1[[#This Row],[Invoice (AED)]]/3.673</f>
        <v>0</v>
      </c>
      <c r="CY6" s="51" cm="1">
        <f t="array" ref="CY6">_xlfn.IFS(Table1[[#This Row],[STATUS]]="Cancelled",,Table1[[#This Row],[STATUS]]="Pending",,Table1[[#This Row],[STATUS]]="Not Due",,ISNONTEXT(Table1[[#This Row],[CRD]]),Table1[[#This Row],[CRD]]-Table1[[#This Row],[PO NEED BY DATE]])</f>
        <v>0</v>
      </c>
      <c r="CZ6" s="51">
        <f>IF(Table1[[#This Row],[CRD]]&lt;&gt;"", Table1[[#This Row],[CRD]]-Table1[[#This Row],[PO CREATION DATE]], 0)</f>
        <v>0</v>
      </c>
      <c r="DA6" s="51">
        <f>IF(Table1[[#This Row],[REVISED ETD]]&lt;&gt;"", Table1[[#This Row],[REVISED ETD]]-Table1[[#This Row],[CRD]], Table1[[#This Row],[ETD]]-Table1[[#This Row],[CRD]])</f>
        <v>0</v>
      </c>
      <c r="DB6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6" s="51">
        <f>IF(Table1[[#This Row],[REVISED ETA]]&lt;&gt;"", Table1[[#This Row],[DEL]]-Table1[[#This Row],[REVISED ETA]], Table1[[#This Row],[DEL]]-Table1[[#This Row],[ETA]])</f>
        <v>0</v>
      </c>
      <c r="DD6" s="51" cm="1">
        <f t="array" ref="DD6">_xlfn.IFS(Table1[[#This Row],[STATUS]]="Cancelled",,Table1[[#This Row],[STATUS]]="Pending",,Table1[[#This Row],[STATUS]]="Not Due",,ISNONTEXT(Table1[[#This Row],[ETD]]),Table1[[#This Row],[ETA]]-Table1[[#This Row],[PO NEED BY DATE]])</f>
        <v>0</v>
      </c>
      <c r="DE6" s="51">
        <f>Table1[[#This Row],[PO NEED BY DATE]]-Table1[[#This Row],[DEL]]</f>
        <v>46057</v>
      </c>
      <c r="DF6" s="53">
        <f>SUM(Table1[[#This Row],[CRD TO ETD]],Table1[[#This Row],[ETD TO ETA]],Table1[[#This Row],[ETA TO DEL]],Table1[[#This Row],[NBD TO ETA]],Table1[[#This Row],[NBD TO DEL]])</f>
        <v>46057</v>
      </c>
      <c r="DG6" s="38"/>
      <c r="DH6" s="24"/>
    </row>
    <row r="7" spans="1:112" x14ac:dyDescent="0.35">
      <c r="A7" s="7"/>
      <c r="B7" s="7"/>
      <c r="C7" s="7" t="s">
        <v>331</v>
      </c>
      <c r="D7" t="s">
        <v>332</v>
      </c>
      <c r="E7" s="23"/>
      <c r="F7" t="s">
        <v>335</v>
      </c>
      <c r="G7" t="s">
        <v>336</v>
      </c>
      <c r="H7" s="26"/>
      <c r="I7" s="24"/>
      <c r="J7" s="24"/>
      <c r="L7" s="25"/>
      <c r="M7" s="25"/>
      <c r="N7" s="27"/>
      <c r="O7" s="24"/>
      <c r="P7" s="24"/>
      <c r="Q7" s="24"/>
      <c r="R7" s="24"/>
      <c r="S7" s="24"/>
      <c r="T7" s="24"/>
      <c r="U7" s="24"/>
      <c r="V7" s="43"/>
      <c r="W7" s="43"/>
      <c r="X7" s="43"/>
      <c r="Y7" s="43"/>
      <c r="Z7" s="24"/>
      <c r="AA7" s="8">
        <v>45945</v>
      </c>
      <c r="AB7" s="8">
        <v>45945</v>
      </c>
      <c r="AC7" s="8">
        <v>45945</v>
      </c>
      <c r="AD7" s="8">
        <v>45947</v>
      </c>
      <c r="AE7" s="8">
        <v>46042</v>
      </c>
      <c r="AF7" s="29"/>
      <c r="AG7" s="30"/>
      <c r="AH7" s="30"/>
      <c r="AI7" s="30"/>
      <c r="AJ7" s="30"/>
      <c r="AK7" s="30"/>
      <c r="AL7" s="30"/>
      <c r="AM7" s="31"/>
      <c r="AN7" s="30"/>
      <c r="AO7" t="s">
        <v>111</v>
      </c>
      <c r="AP7" s="24"/>
      <c r="AQ7" s="32">
        <v>480000</v>
      </c>
      <c r="AR7" s="34"/>
      <c r="AS7" s="42"/>
      <c r="AT7" s="42"/>
      <c r="AU7" s="42"/>
      <c r="AV7" s="24"/>
      <c r="AW7" s="77"/>
      <c r="AX7" s="24"/>
      <c r="AY7" s="24"/>
      <c r="AZ7" s="32"/>
      <c r="BA7" s="45">
        <f>IF(Table1[[#This Row],[PO APPR DATE]]&gt;0,IF(Table1[[#This Row],[PO APPR DATE]]-Table1[[#This Row],[PR APPR DATE]]&lt;=5,1,1-ABS(Table1[[#This Row],[PO APPR DATE]]-Table1[[#This Row],[PR APPR DATE]])/5),0)</f>
        <v>1</v>
      </c>
      <c r="BB7" s="40" cm="1">
        <f t="array" ref="BB7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7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7" s="45" cm="1">
        <f t="array" ref="BD7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7" s="45" cm="1">
        <f t="array" ref="BE7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7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7" s="47" cm="1">
        <f t="array" ref="BG7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7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7" s="24" t="str" cm="1">
        <f t="array" ref="BI7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7" s="24" t="str" cm="1">
        <f t="array" ref="BJ7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7" s="47" cm="1">
        <f t="array" ref="BK7">_xlfn.IFS(ISBLANK(Table1[[#This Row],[PR APPR DATE]]),0,ISBLANK(Table1[[#This Row],[PO APPR DATE]]),0,ISNONTEXT(Table1[[#This Row],[PO APPR DATE]]),Table1[[#This Row],[PO APPR DATE]]-Table1[[#This Row],[PR APPR DATE]])</f>
        <v>0</v>
      </c>
      <c r="BL7" s="47" cm="1">
        <f t="array" ref="BL7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7" s="47">
        <f>IFERROR(IF(Table1[[#This Row],[DEL]]&gt;0,Table1[[#This Row],[DEL]]-Table1[[#This Row],[ETA]],0),0)</f>
        <v>0</v>
      </c>
      <c r="BN7" s="47">
        <f>IFERROR(IF(Table1[[#This Row],[ETD]]&gt;0,(Table1[[#This Row],[ETD]]-Table1[[#This Row],[CRD]]),0),"")</f>
        <v>0</v>
      </c>
      <c r="BO7" s="47">
        <f>IFERROR(IF(Table1[[#This Row],[ETA]]&gt;0,(Table1[[#This Row],[ETA]]-Table1[[#This Row],[ETD]]),0),0)</f>
        <v>0</v>
      </c>
      <c r="BP7" s="47" cm="1">
        <f t="array" ref="BP7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7" s="49">
        <f>Table1[[#This Row],[ORG CHGS (AED)]]/3.673</f>
        <v>0</v>
      </c>
      <c r="BR7" s="49">
        <f>Table1[[#This Row],[FRT CHGS (AED)]]/3.673</f>
        <v>0</v>
      </c>
      <c r="BS7" s="49">
        <f>Table1[[#This Row],[DEST CHGS (AED)]]/3.673</f>
        <v>0</v>
      </c>
      <c r="BT7" s="42"/>
      <c r="BU7" s="24"/>
      <c r="BV7" s="42"/>
      <c r="BW7" s="42"/>
      <c r="BX7" s="42"/>
      <c r="BY7" s="42">
        <f>SUM(Table1[[#This Row],[ORG CHGS (AED)]],Table1[[#This Row],[FRT CHGS (AED)]],Table1[[#This Row],[DEST CHGS (AED)]])</f>
        <v>0</v>
      </c>
      <c r="BZ7" s="42">
        <f>SUM(Table1[[#This Row],[P2P VALUE]]+Table1[[#This Row],[Ancillary Charges (AED)]])</f>
        <v>0</v>
      </c>
      <c r="CA7" s="24"/>
      <c r="CB7" s="84"/>
      <c r="CC7" s="29"/>
      <c r="CD7" s="24" t="str">
        <f>IF(ISBLANK(Table1[[#This Row],[PR DATE]]),"Pending","Logged")</f>
        <v>Pending</v>
      </c>
      <c r="CE7" s="82"/>
      <c r="CF7" s="24" t="str">
        <f>IF(ISBLANK(Table1[[#This Row],[SPO '#]]),"Pending","Received")</f>
        <v>Pending</v>
      </c>
      <c r="CG7" s="42"/>
      <c r="CH7" s="24"/>
      <c r="CI7" s="24"/>
      <c r="CJ7" s="24" t="str" cm="1">
        <f t="array" ref="CJ7">_xlfn.IFS(ISTEXT(Table1[[#This Row],[Invoice '#]]),"Billed",Table1[[#This Row],[PO STATUS]]="Received","Pending",Table1[[#This Row],[PO STATUS]]="Pending","Pending")</f>
        <v>Pending</v>
      </c>
      <c r="CK7" s="24"/>
      <c r="CL7" s="82"/>
      <c r="CM7" s="24" t="str">
        <f>IF(ISBLANK(Table1[[#This Row],[GRN]]),"Pending","Complete")</f>
        <v>Pending</v>
      </c>
      <c r="CN7" s="24"/>
      <c r="CO7" s="35"/>
      <c r="CP7" s="24"/>
      <c r="CQ7" s="24"/>
      <c r="CR7" s="36"/>
      <c r="CS7" s="30"/>
      <c r="CT7" s="37"/>
      <c r="CU7" s="43" t="str">
        <f>IF(Table1[[#This Row],[DEL]]="","",Table1[[#This Row],[REVISED ETD]]-Table1[[#This Row],[ETD]])</f>
        <v/>
      </c>
      <c r="CV7" s="43" t="str">
        <f>IF(Table1[[#This Row],[DEL]]="","",Table1[[#This Row],[REVISED ETA]]-Table1[[#This Row],[ETA]])</f>
        <v/>
      </c>
      <c r="CW7" s="43" t="str">
        <f>IF(Table1[[#This Row],[DEL]]="","",Table1[[#This Row],[ETA]]-Table1[[#This Row],[PO NEED BY DATE]])</f>
        <v/>
      </c>
      <c r="CX7" s="42">
        <f>Table1[[#This Row],[Invoice (AED)]]/3.673</f>
        <v>0</v>
      </c>
      <c r="CY7" s="51" cm="1">
        <f t="array" ref="CY7">_xlfn.IFS(Table1[[#This Row],[STATUS]]="Cancelled",,Table1[[#This Row],[STATUS]]="Pending",,Table1[[#This Row],[STATUS]]="Not Due",,ISNONTEXT(Table1[[#This Row],[CRD]]),Table1[[#This Row],[CRD]]-Table1[[#This Row],[PO NEED BY DATE]])</f>
        <v>0</v>
      </c>
      <c r="CZ7" s="51">
        <f>IF(Table1[[#This Row],[CRD]]&lt;&gt;"", Table1[[#This Row],[CRD]]-Table1[[#This Row],[PO CREATION DATE]], 0)</f>
        <v>0</v>
      </c>
      <c r="DA7" s="51">
        <f>IF(Table1[[#This Row],[REVISED ETD]]&lt;&gt;"", Table1[[#This Row],[REVISED ETD]]-Table1[[#This Row],[CRD]], Table1[[#This Row],[ETD]]-Table1[[#This Row],[CRD]])</f>
        <v>0</v>
      </c>
      <c r="DB7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7" s="51">
        <f>IF(Table1[[#This Row],[REVISED ETA]]&lt;&gt;"", Table1[[#This Row],[DEL]]-Table1[[#This Row],[REVISED ETA]], Table1[[#This Row],[DEL]]-Table1[[#This Row],[ETA]])</f>
        <v>0</v>
      </c>
      <c r="DD7" s="51" cm="1">
        <f t="array" ref="DD7">_xlfn.IFS(Table1[[#This Row],[STATUS]]="Cancelled",,Table1[[#This Row],[STATUS]]="Pending",,Table1[[#This Row],[STATUS]]="Not Due",,ISNONTEXT(Table1[[#This Row],[ETD]]),Table1[[#This Row],[ETA]]-Table1[[#This Row],[PO NEED BY DATE]])</f>
        <v>0</v>
      </c>
      <c r="DE7" s="51">
        <f>Table1[[#This Row],[PO NEED BY DATE]]-Table1[[#This Row],[DEL]]</f>
        <v>46042</v>
      </c>
      <c r="DF7" s="53">
        <f>SUM(Table1[[#This Row],[CRD TO ETD]],Table1[[#This Row],[ETD TO ETA]],Table1[[#This Row],[ETA TO DEL]],Table1[[#This Row],[NBD TO ETA]],Table1[[#This Row],[NBD TO DEL]])</f>
        <v>46042</v>
      </c>
      <c r="DG7" s="38"/>
      <c r="DH7" s="24"/>
    </row>
    <row r="8" spans="1:112" ht="29" x14ac:dyDescent="0.35">
      <c r="A8" s="7"/>
      <c r="B8" s="7"/>
      <c r="C8" t="s">
        <v>338</v>
      </c>
      <c r="D8" s="7" t="s">
        <v>108</v>
      </c>
      <c r="E8" t="s">
        <v>332</v>
      </c>
      <c r="F8" s="9" t="s">
        <v>339</v>
      </c>
      <c r="G8" t="s">
        <v>340</v>
      </c>
      <c r="H8" t="s">
        <v>341</v>
      </c>
      <c r="I8" s="24"/>
      <c r="J8" s="24"/>
      <c r="K8" s="24"/>
      <c r="L8" s="25"/>
      <c r="M8" s="25"/>
      <c r="N8" s="27"/>
      <c r="O8" s="24"/>
      <c r="P8" s="24"/>
      <c r="Q8" s="24"/>
      <c r="R8" s="24"/>
      <c r="S8" s="24"/>
      <c r="T8" s="24"/>
      <c r="U8" s="24"/>
      <c r="V8" s="43"/>
      <c r="W8" s="43"/>
      <c r="X8" s="43"/>
      <c r="Y8" s="43"/>
      <c r="Z8" s="24"/>
      <c r="AA8" s="8">
        <v>45945</v>
      </c>
      <c r="AB8" s="8">
        <v>45945</v>
      </c>
      <c r="AC8" s="8">
        <v>45945</v>
      </c>
      <c r="AD8" s="8">
        <v>45947</v>
      </c>
      <c r="AE8" s="8">
        <v>46021</v>
      </c>
      <c r="AF8" s="29"/>
      <c r="AG8" s="30"/>
      <c r="AH8" s="30"/>
      <c r="AI8" s="30"/>
      <c r="AJ8" s="30"/>
      <c r="AK8" s="30"/>
      <c r="AL8" s="30"/>
      <c r="AM8" s="31"/>
      <c r="AN8" s="30"/>
      <c r="AO8" t="s">
        <v>344</v>
      </c>
      <c r="AP8" s="24"/>
      <c r="AQ8" s="33" t="s">
        <v>345</v>
      </c>
      <c r="AR8" s="34"/>
      <c r="AS8" s="42"/>
      <c r="AT8" s="42"/>
      <c r="AU8" s="42"/>
      <c r="AV8" s="24"/>
      <c r="AW8" s="77"/>
      <c r="AX8" s="24"/>
      <c r="AY8" s="24"/>
      <c r="AZ8" s="32"/>
      <c r="BA8" s="45">
        <f>IF(Table1[[#This Row],[PO APPR DATE]]&gt;0,IF(Table1[[#This Row],[PO APPR DATE]]-Table1[[#This Row],[PR APPR DATE]]&lt;=5,1,1-ABS(Table1[[#This Row],[PO APPR DATE]]-Table1[[#This Row],[PR APPR DATE]])/5),0)</f>
        <v>1</v>
      </c>
      <c r="BB8" s="40" cm="1">
        <f t="array" ref="BB8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8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8" s="45" cm="1">
        <f t="array" ref="BD8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8" s="45" cm="1">
        <f t="array" ref="BE8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8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8" s="47" cm="1">
        <f t="array" ref="BG8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8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8" s="24" t="str" cm="1">
        <f t="array" ref="BI8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8" s="24" t="str" cm="1">
        <f t="array" ref="BJ8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8" s="47" cm="1">
        <f t="array" ref="BK8">_xlfn.IFS(ISBLANK(Table1[[#This Row],[PR APPR DATE]]),0,ISBLANK(Table1[[#This Row],[PO APPR DATE]]),0,ISNONTEXT(Table1[[#This Row],[PO APPR DATE]]),Table1[[#This Row],[PO APPR DATE]]-Table1[[#This Row],[PR APPR DATE]])</f>
        <v>0</v>
      </c>
      <c r="BL8" s="47" cm="1">
        <f t="array" ref="BL8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8" s="47">
        <f>IFERROR(IF(Table1[[#This Row],[DEL]]&gt;0,Table1[[#This Row],[DEL]]-Table1[[#This Row],[ETA]],0),0)</f>
        <v>0</v>
      </c>
      <c r="BN8" s="47">
        <f>IFERROR(IF(Table1[[#This Row],[ETD]]&gt;0,(Table1[[#This Row],[ETD]]-Table1[[#This Row],[CRD]]),0),"")</f>
        <v>0</v>
      </c>
      <c r="BO8" s="47">
        <f>IFERROR(IF(Table1[[#This Row],[ETA]]&gt;0,(Table1[[#This Row],[ETA]]-Table1[[#This Row],[ETD]]),0),0)</f>
        <v>0</v>
      </c>
      <c r="BP8" s="47" cm="1">
        <f t="array" ref="BP8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8" s="49">
        <f>Table1[[#This Row],[ORG CHGS (AED)]]/3.673</f>
        <v>0</v>
      </c>
      <c r="BR8" s="49">
        <f>Table1[[#This Row],[FRT CHGS (AED)]]/3.673</f>
        <v>0</v>
      </c>
      <c r="BS8" s="49">
        <f>Table1[[#This Row],[DEST CHGS (AED)]]/3.673</f>
        <v>0</v>
      </c>
      <c r="BT8" s="42"/>
      <c r="BU8" s="24"/>
      <c r="BV8" s="42"/>
      <c r="BW8" s="42"/>
      <c r="BX8" s="42"/>
      <c r="BY8" s="42">
        <f>SUM(Table1[[#This Row],[ORG CHGS (AED)]],Table1[[#This Row],[FRT CHGS (AED)]],Table1[[#This Row],[DEST CHGS (AED)]])</f>
        <v>0</v>
      </c>
      <c r="BZ8" s="42">
        <f>SUM(Table1[[#This Row],[P2P VALUE]]+Table1[[#This Row],[Ancillary Charges (AED)]])</f>
        <v>0</v>
      </c>
      <c r="CA8" s="24"/>
      <c r="CB8" s="84"/>
      <c r="CC8" s="29"/>
      <c r="CD8" s="24" t="str">
        <f>IF(ISBLANK(Table1[[#This Row],[PR DATE]]),"Pending","Logged")</f>
        <v>Pending</v>
      </c>
      <c r="CE8" s="82"/>
      <c r="CF8" s="24" t="str">
        <f>IF(ISBLANK(Table1[[#This Row],[SPO '#]]),"Pending","Received")</f>
        <v>Pending</v>
      </c>
      <c r="CG8" s="42"/>
      <c r="CH8" s="24"/>
      <c r="CI8" s="24"/>
      <c r="CJ8" s="24" t="str" cm="1">
        <f t="array" ref="CJ8">_xlfn.IFS(ISTEXT(Table1[[#This Row],[Invoice '#]]),"Billed",Table1[[#This Row],[PO STATUS]]="Received","Pending",Table1[[#This Row],[PO STATUS]]="Pending","Pending")</f>
        <v>Pending</v>
      </c>
      <c r="CK8" s="24"/>
      <c r="CL8" s="82"/>
      <c r="CM8" s="24" t="str">
        <f>IF(ISBLANK(Table1[[#This Row],[GRN]]),"Pending","Complete")</f>
        <v>Pending</v>
      </c>
      <c r="CN8" s="24"/>
      <c r="CO8" s="35"/>
      <c r="CP8" s="24"/>
      <c r="CQ8" s="24"/>
      <c r="CR8" s="36"/>
      <c r="CS8" s="30"/>
      <c r="CT8" s="37"/>
      <c r="CU8" s="43" t="str">
        <f>IF(Table1[[#This Row],[DEL]]="","",Table1[[#This Row],[REVISED ETD]]-Table1[[#This Row],[ETD]])</f>
        <v/>
      </c>
      <c r="CV8" s="43" t="str">
        <f>IF(Table1[[#This Row],[DEL]]="","",Table1[[#This Row],[REVISED ETA]]-Table1[[#This Row],[ETA]])</f>
        <v/>
      </c>
      <c r="CW8" s="43" t="str">
        <f>IF(Table1[[#This Row],[DEL]]="","",Table1[[#This Row],[ETA]]-Table1[[#This Row],[PO NEED BY DATE]])</f>
        <v/>
      </c>
      <c r="CX8" s="42">
        <f>Table1[[#This Row],[Invoice (AED)]]/3.673</f>
        <v>0</v>
      </c>
      <c r="CY8" s="51" cm="1">
        <f t="array" ref="CY8">_xlfn.IFS(Table1[[#This Row],[STATUS]]="Cancelled",,Table1[[#This Row],[STATUS]]="Pending",,Table1[[#This Row],[STATUS]]="Not Due",,ISNONTEXT(Table1[[#This Row],[CRD]]),Table1[[#This Row],[CRD]]-Table1[[#This Row],[PO NEED BY DATE]])</f>
        <v>-46021</v>
      </c>
      <c r="CZ8" s="51">
        <f>IF(Table1[[#This Row],[CRD]]&lt;&gt;"", Table1[[#This Row],[CRD]]-Table1[[#This Row],[PO CREATION DATE]], 0)</f>
        <v>0</v>
      </c>
      <c r="DA8" s="51">
        <f>IF(Table1[[#This Row],[REVISED ETD]]&lt;&gt;"", Table1[[#This Row],[REVISED ETD]]-Table1[[#This Row],[CRD]], Table1[[#This Row],[ETD]]-Table1[[#This Row],[CRD]])</f>
        <v>0</v>
      </c>
      <c r="DB8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8" s="51">
        <f>IF(Table1[[#This Row],[REVISED ETA]]&lt;&gt;"", Table1[[#This Row],[DEL]]-Table1[[#This Row],[REVISED ETA]], Table1[[#This Row],[DEL]]-Table1[[#This Row],[ETA]])</f>
        <v>0</v>
      </c>
      <c r="DD8" s="51" cm="1">
        <f t="array" ref="DD8">_xlfn.IFS(Table1[[#This Row],[STATUS]]="Cancelled",,Table1[[#This Row],[STATUS]]="Pending",,Table1[[#This Row],[STATUS]]="Not Due",,ISNONTEXT(Table1[[#This Row],[ETD]]),Table1[[#This Row],[ETA]]-Table1[[#This Row],[PO NEED BY DATE]])</f>
        <v>-46021</v>
      </c>
      <c r="DE8" s="51">
        <f>Table1[[#This Row],[PO NEED BY DATE]]-Table1[[#This Row],[DEL]]</f>
        <v>46021</v>
      </c>
      <c r="DF8" s="53">
        <f>SUM(Table1[[#This Row],[CRD TO ETD]],Table1[[#This Row],[ETD TO ETA]],Table1[[#This Row],[ETA TO DEL]],Table1[[#This Row],[NBD TO ETA]],Table1[[#This Row],[NBD TO DEL]])</f>
        <v>0</v>
      </c>
      <c r="DG8" s="38"/>
      <c r="DH8" s="24"/>
    </row>
    <row r="9" spans="1:112" ht="169" x14ac:dyDescent="0.35">
      <c r="A9" s="7"/>
      <c r="B9" s="86" t="s">
        <v>420</v>
      </c>
      <c r="C9" s="74" t="s">
        <v>326</v>
      </c>
      <c r="D9" s="74" t="s">
        <v>348</v>
      </c>
      <c r="E9" s="74" t="s">
        <v>349</v>
      </c>
      <c r="F9" s="74" t="s">
        <v>350</v>
      </c>
      <c r="G9" s="24" t="s">
        <v>351</v>
      </c>
      <c r="H9" t="s">
        <v>346</v>
      </c>
      <c r="I9" t="s">
        <v>352</v>
      </c>
      <c r="J9" t="s">
        <v>353</v>
      </c>
      <c r="K9" t="s">
        <v>354</v>
      </c>
      <c r="L9" t="s">
        <v>347</v>
      </c>
      <c r="M9" s="25" t="s">
        <v>356</v>
      </c>
      <c r="N9" s="25" t="s">
        <v>355</v>
      </c>
      <c r="O9" s="24" t="s">
        <v>357</v>
      </c>
      <c r="P9" s="24" t="s">
        <v>358</v>
      </c>
      <c r="Q9" s="24" t="s">
        <v>359</v>
      </c>
      <c r="R9" s="24" t="s">
        <v>248</v>
      </c>
      <c r="S9" s="24" t="s">
        <v>360</v>
      </c>
      <c r="T9" s="24" t="s">
        <v>361</v>
      </c>
      <c r="U9" s="24" t="s">
        <v>362</v>
      </c>
      <c r="V9" s="43">
        <v>2</v>
      </c>
      <c r="W9" s="43">
        <v>1</v>
      </c>
      <c r="X9" s="43">
        <v>3</v>
      </c>
      <c r="Y9" s="43">
        <v>4</v>
      </c>
      <c r="Z9" s="24" t="s">
        <v>363</v>
      </c>
      <c r="AA9" s="28">
        <v>45945</v>
      </c>
      <c r="AB9" s="28">
        <v>45945</v>
      </c>
      <c r="AC9" s="28">
        <v>45945</v>
      </c>
      <c r="AD9" s="8">
        <v>45947</v>
      </c>
      <c r="AE9" s="8">
        <v>45948</v>
      </c>
      <c r="AF9" s="8">
        <v>45978</v>
      </c>
      <c r="AG9" s="30">
        <v>45980</v>
      </c>
      <c r="AH9" s="30">
        <v>45980</v>
      </c>
      <c r="AI9" s="30">
        <v>45982</v>
      </c>
      <c r="AJ9" s="30"/>
      <c r="AK9" s="30">
        <v>46000</v>
      </c>
      <c r="AL9" s="30"/>
      <c r="AM9" s="31"/>
      <c r="AN9" s="30">
        <v>46009</v>
      </c>
      <c r="AO9" s="32" t="s">
        <v>364</v>
      </c>
      <c r="AP9" s="75" t="s">
        <v>365</v>
      </c>
      <c r="AQ9" s="33" t="s">
        <v>366</v>
      </c>
      <c r="AR9" s="34">
        <v>78.790000000000006</v>
      </c>
      <c r="AS9" s="42">
        <v>886.11</v>
      </c>
      <c r="AT9" s="42">
        <v>78.790000000000006</v>
      </c>
      <c r="AU9" s="42">
        <v>80</v>
      </c>
      <c r="AV9" s="24" t="s">
        <v>367</v>
      </c>
      <c r="AW9" s="42">
        <v>34500</v>
      </c>
      <c r="AX9" s="24" t="s">
        <v>368</v>
      </c>
      <c r="AY9" s="24" t="s">
        <v>369</v>
      </c>
      <c r="AZ9" s="32" t="s">
        <v>370</v>
      </c>
      <c r="BA9" s="45">
        <f>IF(Table1[[#This Row],[PO APPR DATE]]&gt;0,IF(Table1[[#This Row],[PO APPR DATE]]-Table1[[#This Row],[PR APPR DATE]]&lt;=5,1,1-ABS(Table1[[#This Row],[PO APPR DATE]]-Table1[[#This Row],[PR APPR DATE]])/5),0)</f>
        <v>1</v>
      </c>
      <c r="BB9" s="40" cm="1">
        <f t="array" ref="BB9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1</v>
      </c>
      <c r="BC9" s="45">
        <f>IFERROR(IF(AND(Table1[[#This Row],[ETD]]&gt;0,Table1[[#This Row],[No of Days ISS Cont Booking LT]]&gt;0),IF((Table1[[#This Row],[ETD]]-Table1[[#This Row],[CRD]])&lt;=7,1,1-ABS(Table1[[#This Row],[ETD]]-Table1[[#This Row],[CRD]])/7),0),"")</f>
        <v>1</v>
      </c>
      <c r="BD9" s="45" cm="1">
        <f t="array" ref="BD9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1</v>
      </c>
      <c r="BE9" s="45" cm="1">
        <f t="array" ref="BE9">_xlfn.IFS(Table1[[#This Row],[DEL]]="",0,ISBLANK(Table1[[#This Row],[DEL]]),0,Table1[[#This Row],[DEL]]-Table1[[#This Row],[ETA]]&lt;=3,1,(Table1[[#This Row],[DEL]]-Table1[[#This Row],[ETA]])&gt;3,1-ABS(Table1[[#This Row],[DEL]]-Table1[[#This Row],[ETA]])/3)</f>
        <v>-2</v>
      </c>
      <c r="BF9" s="45">
        <f>IFERROR(IF(Table1[[#This Row],[E2E Total LT]]&gt;0,1-ABS(Table1[[#This Row],[E2E Total LT]]-Table1[[#This Row],[No of Days Total Comm LT (as per contract)]])/Table1[[#This Row],[No of Days Total Comm LT (as per contract)]],0),"")</f>
        <v>0.59428571428571431</v>
      </c>
      <c r="BG9" s="47" cm="1">
        <f t="array" ref="BG9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107.69230769230769</v>
      </c>
      <c r="BH9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64</v>
      </c>
      <c r="BI9" s="24" t="str" cm="1">
        <f t="array" ref="BI9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9" s="24" t="str" cm="1">
        <f t="array" ref="BJ9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9" s="47" cm="1">
        <f t="array" ref="BK9">_xlfn.IFS(ISBLANK(Table1[[#This Row],[PR APPR DATE]]),0,ISBLANK(Table1[[#This Row],[PO APPR DATE]]),0,ISNONTEXT(Table1[[#This Row],[PO APPR DATE]]),Table1[[#This Row],[PO APPR DATE]]-Table1[[#This Row],[PR APPR DATE]])</f>
        <v>0</v>
      </c>
      <c r="BL9" s="47" cm="1">
        <f t="array" ref="BL9">_xlfn.IFS((Table1[[#This Row],[DEL]])="",0,ISBLANK(Table1[[#This Row],[CRD]]),0,ISBLANK(Table1[[#This Row],[PO APPR DATE]]),0,ISNONTEXT(Table1[[#This Row],[PO APPR DATE]]),Table1[[#This Row],[CRD]]-Table1[[#This Row],[PO APPR DATE]])</f>
        <v>33</v>
      </c>
      <c r="BM9" s="47">
        <f>IFERROR(IF(Table1[[#This Row],[DEL]]&gt;0,Table1[[#This Row],[DEL]]-Table1[[#This Row],[ETA]],0),0)</f>
        <v>9</v>
      </c>
      <c r="BN9" s="47">
        <f>IFERROR(IF(Table1[[#This Row],[ETD]]&gt;0,(Table1[[#This Row],[ETD]]-Table1[[#This Row],[CRD]]),0),"")</f>
        <v>4</v>
      </c>
      <c r="BO9" s="47">
        <f>IFERROR(IF(Table1[[#This Row],[ETA]]&gt;0,(Table1[[#This Row],[ETA]]-Table1[[#This Row],[ETD]]),0),0)</f>
        <v>18</v>
      </c>
      <c r="BP9" s="47" cm="1">
        <f t="array" ref="BP9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64</v>
      </c>
      <c r="BQ9" s="49">
        <f>Table1[[#This Row],[ORG CHGS (AED)]]/3.673</f>
        <v>0</v>
      </c>
      <c r="BR9" s="49">
        <f>Table1[[#This Row],[FRT CHGS (AED)]]/3.673</f>
        <v>0</v>
      </c>
      <c r="BS9" s="49">
        <f>Table1[[#This Row],[DEST CHGS (AED)]]/3.673</f>
        <v>0</v>
      </c>
      <c r="BT9" s="42"/>
      <c r="BU9" s="24"/>
      <c r="BV9" s="42"/>
      <c r="BW9" s="42"/>
      <c r="BX9" s="42"/>
      <c r="BY9" s="42">
        <f>SUM(Table1[[#This Row],[ORG CHGS (AED)]],Table1[[#This Row],[FRT CHGS (AED)]],Table1[[#This Row],[DEST CHGS (AED)]])</f>
        <v>0</v>
      </c>
      <c r="BZ9" s="42">
        <f>SUM(Table1[[#This Row],[P2P VALUE]]+Table1[[#This Row],[Ancillary Charges (AED)]])</f>
        <v>0</v>
      </c>
      <c r="CA9" s="24" t="s">
        <v>436</v>
      </c>
      <c r="CB9" s="84">
        <v>997766554</v>
      </c>
      <c r="CC9" s="29">
        <v>45983</v>
      </c>
      <c r="CD9" s="24" t="str">
        <f>IF(ISBLANK(Table1[[#This Row],[PR DATE]]),"Pending","Logged")</f>
        <v>Logged</v>
      </c>
      <c r="CE9" s="82" t="s">
        <v>416</v>
      </c>
      <c r="CF9" s="24" t="str">
        <f>IF(ISBLANK(Table1[[#This Row],[SPO '#]]),"Pending","Received")</f>
        <v>Received</v>
      </c>
      <c r="CG9" s="42"/>
      <c r="CH9" s="24"/>
      <c r="CI9" s="24"/>
      <c r="CJ9" s="24" t="str" cm="1">
        <f t="array" ref="CJ9">_xlfn.IFS(ISTEXT(Table1[[#This Row],[Invoice '#]]),"Billed",Table1[[#This Row],[PO STATUS]]="Received","Pending",Table1[[#This Row],[PO STATUS]]="Pending","Pending")</f>
        <v>Pending</v>
      </c>
      <c r="CK9" s="24"/>
      <c r="CL9" s="82" t="s">
        <v>437</v>
      </c>
      <c r="CM9" s="24" t="str">
        <f>IF(ISBLANK(Table1[[#This Row],[GRN]]),"Pending","Complete")</f>
        <v>Complete</v>
      </c>
      <c r="CN9" s="24"/>
      <c r="CO9" s="35" t="s">
        <v>419</v>
      </c>
      <c r="CP9" s="24"/>
      <c r="CQ9" s="24"/>
      <c r="CR9" s="36" t="s">
        <v>417</v>
      </c>
      <c r="CS9" s="30"/>
      <c r="CT9" s="37"/>
      <c r="CU9" s="43">
        <f>IF(Table1[[#This Row],[DEL]]="","",Table1[[#This Row],[REVISED ETD]]-Table1[[#This Row],[ETD]])</f>
        <v>-45982</v>
      </c>
      <c r="CV9" s="43">
        <f>IF(Table1[[#This Row],[DEL]]="","",Table1[[#This Row],[REVISED ETA]]-Table1[[#This Row],[ETA]])</f>
        <v>-46000</v>
      </c>
      <c r="CW9" s="43">
        <f>IF(Table1[[#This Row],[DEL]]="","",Table1[[#This Row],[ETA]]-Table1[[#This Row],[PO NEED BY DATE]])</f>
        <v>52</v>
      </c>
      <c r="CX9" s="42">
        <f>Table1[[#This Row],[Invoice (AED)]]/3.673</f>
        <v>9392.8668663218068</v>
      </c>
      <c r="CY9" s="51" cm="1">
        <f t="array" ref="CY9">_xlfn.IFS(Table1[[#This Row],[STATUS]]="Cancelled",,Table1[[#This Row],[STATUS]]="Pending",,Table1[[#This Row],[STATUS]]="Not Due",,ISNONTEXT(Table1[[#This Row],[CRD]]),Table1[[#This Row],[CRD]]-Table1[[#This Row],[PO NEED BY DATE]])</f>
        <v>30</v>
      </c>
      <c r="CZ9" s="51">
        <f>IF(Table1[[#This Row],[CRD]]&lt;&gt;"", Table1[[#This Row],[CRD]]-Table1[[#This Row],[PO CREATION DATE]], 0)</f>
        <v>33</v>
      </c>
      <c r="DA9" s="51">
        <f>IF(Table1[[#This Row],[REVISED ETD]]&lt;&gt;"", Table1[[#This Row],[REVISED ETD]]-Table1[[#This Row],[CRD]], Table1[[#This Row],[ETD]]-Table1[[#This Row],[CRD]])</f>
        <v>4</v>
      </c>
      <c r="DB9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18</v>
      </c>
      <c r="DC9" s="51">
        <f>IF(Table1[[#This Row],[REVISED ETA]]&lt;&gt;"", Table1[[#This Row],[DEL]]-Table1[[#This Row],[REVISED ETA]], Table1[[#This Row],[DEL]]-Table1[[#This Row],[ETA]])</f>
        <v>9</v>
      </c>
      <c r="DD9" s="51" cm="1">
        <f t="array" ref="DD9">_xlfn.IFS(Table1[[#This Row],[STATUS]]="Cancelled",,Table1[[#This Row],[STATUS]]="Pending",,Table1[[#This Row],[STATUS]]="Not Due",,ISNONTEXT(Table1[[#This Row],[ETD]]),Table1[[#This Row],[ETA]]-Table1[[#This Row],[PO NEED BY DATE]])</f>
        <v>52</v>
      </c>
      <c r="DE9" s="51">
        <f>Table1[[#This Row],[PO NEED BY DATE]]-Table1[[#This Row],[DEL]]</f>
        <v>-61</v>
      </c>
      <c r="DF9" s="53">
        <f>SUM(Table1[[#This Row],[CRD TO ETD]],Table1[[#This Row],[ETD TO ETA]],Table1[[#This Row],[ETA TO DEL]],Table1[[#This Row],[NBD TO ETA]],Table1[[#This Row],[NBD TO DEL]])</f>
        <v>22</v>
      </c>
      <c r="DG9" s="38"/>
      <c r="DH9" s="24" t="s">
        <v>418</v>
      </c>
    </row>
    <row r="10" spans="1:112" ht="39" x14ac:dyDescent="0.35">
      <c r="A10" s="7"/>
      <c r="B10" s="85" t="s">
        <v>422</v>
      </c>
      <c r="C10" t="s">
        <v>326</v>
      </c>
      <c r="D10" s="7" t="s">
        <v>423</v>
      </c>
      <c r="E10" t="s">
        <v>348</v>
      </c>
      <c r="F10" s="74" t="s">
        <v>425</v>
      </c>
      <c r="G10" s="9" t="s">
        <v>426</v>
      </c>
      <c r="H10" s="26" t="s">
        <v>421</v>
      </c>
      <c r="I10" t="s">
        <v>352</v>
      </c>
      <c r="J10" t="s">
        <v>427</v>
      </c>
      <c r="K10" s="24" t="s">
        <v>428</v>
      </c>
      <c r="L10" s="25"/>
      <c r="M10" s="25"/>
      <c r="N10" s="27"/>
      <c r="O10" s="24"/>
      <c r="P10" s="24" t="s">
        <v>430</v>
      </c>
      <c r="Q10" s="24" t="s">
        <v>431</v>
      </c>
      <c r="R10" s="24" t="s">
        <v>248</v>
      </c>
      <c r="S10" s="24" t="s">
        <v>360</v>
      </c>
      <c r="T10" s="24" t="s">
        <v>429</v>
      </c>
      <c r="U10" s="24" t="s">
        <v>432</v>
      </c>
      <c r="V10" s="43">
        <v>1</v>
      </c>
      <c r="W10" s="43">
        <v>2</v>
      </c>
      <c r="X10" s="43">
        <v>5</v>
      </c>
      <c r="Y10" s="43">
        <v>5</v>
      </c>
      <c r="Z10" s="24"/>
      <c r="AA10" s="8">
        <v>45945</v>
      </c>
      <c r="AB10" s="8">
        <v>45945</v>
      </c>
      <c r="AC10" s="8">
        <v>45945</v>
      </c>
      <c r="AD10" s="8">
        <v>45947</v>
      </c>
      <c r="AE10" s="8">
        <v>45947</v>
      </c>
      <c r="AF10" s="29"/>
      <c r="AG10" s="30"/>
      <c r="AH10" s="30"/>
      <c r="AI10" s="30">
        <v>46002</v>
      </c>
      <c r="AJ10" s="30"/>
      <c r="AK10" s="30">
        <v>46004</v>
      </c>
      <c r="AL10" s="30"/>
      <c r="AM10" s="31"/>
      <c r="AN10" s="30"/>
      <c r="AO10" s="32" t="s">
        <v>344</v>
      </c>
      <c r="AP10" s="24" t="s">
        <v>433</v>
      </c>
      <c r="AQ10" s="33" t="s">
        <v>434</v>
      </c>
      <c r="AR10" s="34">
        <v>23.66</v>
      </c>
      <c r="AS10" s="42">
        <v>3422.45</v>
      </c>
      <c r="AT10" s="42">
        <v>23.66</v>
      </c>
      <c r="AU10" s="42">
        <v>70</v>
      </c>
      <c r="AV10" s="24" t="s">
        <v>367</v>
      </c>
      <c r="AW10" s="77"/>
      <c r="AX10" s="24"/>
      <c r="AY10" s="24"/>
      <c r="AZ10" s="32"/>
      <c r="BA10" s="45">
        <f>IF(Table1[[#This Row],[PO APPR DATE]]&gt;0,IF(Table1[[#This Row],[PO APPR DATE]]-Table1[[#This Row],[PR APPR DATE]]&lt;=5,1,1-ABS(Table1[[#This Row],[PO APPR DATE]]-Table1[[#This Row],[PR APPR DATE]])/5),0)</f>
        <v>1</v>
      </c>
      <c r="BB10" s="40" cm="1">
        <f t="array" ref="BB10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10" s="45">
        <f>IFERROR(IF(AND(Table1[[#This Row],[ETD]]&gt;0,Table1[[#This Row],[No of Days ISS Cont Booking LT]]&gt;0),IF((Table1[[#This Row],[ETD]]-Table1[[#This Row],[CRD]])&lt;=7,1,1-ABS(Table1[[#This Row],[ETD]]-Table1[[#This Row],[CRD]])/7),0),"")</f>
        <v>-6570.7142857142853</v>
      </c>
      <c r="BD10" s="45" cm="1">
        <f t="array" ref="BD10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10" s="45" cm="1">
        <f t="array" ref="BE10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10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10" s="47" cm="1">
        <f t="array" ref="BG10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10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10" s="24" t="str" cm="1">
        <f t="array" ref="BI10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10" s="24" t="str" cm="1">
        <f t="array" ref="BJ10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10" s="47" cm="1">
        <f t="array" ref="BK10">_xlfn.IFS(ISBLANK(Table1[[#This Row],[PR APPR DATE]]),0,ISBLANK(Table1[[#This Row],[PO APPR DATE]]),0,ISNONTEXT(Table1[[#This Row],[PO APPR DATE]]),Table1[[#This Row],[PO APPR DATE]]-Table1[[#This Row],[PR APPR DATE]])</f>
        <v>0</v>
      </c>
      <c r="BL10" s="47" cm="1">
        <f t="array" ref="BL10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10" s="47">
        <f>IFERROR(IF(Table1[[#This Row],[DEL]]&gt;0,Table1[[#This Row],[DEL]]-Table1[[#This Row],[ETA]],0),0)</f>
        <v>0</v>
      </c>
      <c r="BN10" s="47">
        <f>IFERROR(IF(Table1[[#This Row],[ETD]]&gt;0,(Table1[[#This Row],[ETD]]-Table1[[#This Row],[CRD]]),0),"")</f>
        <v>46002</v>
      </c>
      <c r="BO10" s="47">
        <f>IFERROR(IF(Table1[[#This Row],[ETA]]&gt;0,(Table1[[#This Row],[ETA]]-Table1[[#This Row],[ETD]]),0),0)</f>
        <v>2</v>
      </c>
      <c r="BP10" s="47" cm="1">
        <f t="array" ref="BP10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10" s="49">
        <f>Table1[[#This Row],[ORG CHGS (AED)]]/3.673</f>
        <v>0</v>
      </c>
      <c r="BR10" s="49">
        <f>Table1[[#This Row],[FRT CHGS (AED)]]/3.673</f>
        <v>0</v>
      </c>
      <c r="BS10" s="49">
        <f>Table1[[#This Row],[DEST CHGS (AED)]]/3.673</f>
        <v>0</v>
      </c>
      <c r="BT10" s="42"/>
      <c r="BU10" s="24"/>
      <c r="BV10" s="42"/>
      <c r="BW10" s="42"/>
      <c r="BX10" s="42"/>
      <c r="BY10" s="42">
        <f>SUM(Table1[[#This Row],[ORG CHGS (AED)]],Table1[[#This Row],[FRT CHGS (AED)]],Table1[[#This Row],[DEST CHGS (AED)]])</f>
        <v>0</v>
      </c>
      <c r="BZ10" s="42">
        <f>SUM(Table1[[#This Row],[P2P VALUE]]+Table1[[#This Row],[Ancillary Charges (AED)]])</f>
        <v>0</v>
      </c>
      <c r="CA10" s="24"/>
      <c r="CB10" s="84"/>
      <c r="CC10" s="29"/>
      <c r="CD10" s="24" t="str">
        <f>IF(ISBLANK(Table1[[#This Row],[PR DATE]]),"Pending","Logged")</f>
        <v>Pending</v>
      </c>
      <c r="CE10" s="82"/>
      <c r="CF10" s="24" t="str">
        <f>IF(ISBLANK(Table1[[#This Row],[SPO '#]]),"Pending","Received")</f>
        <v>Pending</v>
      </c>
      <c r="CG10" s="42"/>
      <c r="CH10" s="24"/>
      <c r="CI10" s="24"/>
      <c r="CJ10" s="24" t="str" cm="1">
        <f t="array" ref="CJ10">_xlfn.IFS(ISTEXT(Table1[[#This Row],[Invoice '#]]),"Billed",Table1[[#This Row],[PO STATUS]]="Received","Pending",Table1[[#This Row],[PO STATUS]]="Pending","Pending")</f>
        <v>Pending</v>
      </c>
      <c r="CK10" s="24"/>
      <c r="CL10" s="82"/>
      <c r="CM10" s="24" t="str">
        <f>IF(ISBLANK(Table1[[#This Row],[GRN]]),"Pending","Complete")</f>
        <v>Pending</v>
      </c>
      <c r="CN10" s="24"/>
      <c r="CO10" s="35"/>
      <c r="CP10" s="24"/>
      <c r="CQ10" s="24"/>
      <c r="CR10" s="36"/>
      <c r="CS10" s="30"/>
      <c r="CT10" s="37"/>
      <c r="CU10" s="43" t="str">
        <f>IF(Table1[[#This Row],[DEL]]="","",Table1[[#This Row],[REVISED ETD]]-Table1[[#This Row],[ETD]])</f>
        <v/>
      </c>
      <c r="CV10" s="43" t="str">
        <f>IF(Table1[[#This Row],[DEL]]="","",Table1[[#This Row],[REVISED ETA]]-Table1[[#This Row],[ETA]])</f>
        <v/>
      </c>
      <c r="CW10" s="43" t="str">
        <f>IF(Table1[[#This Row],[DEL]]="","",Table1[[#This Row],[ETA]]-Table1[[#This Row],[PO NEED BY DATE]])</f>
        <v/>
      </c>
      <c r="CX10" s="42">
        <f>Table1[[#This Row],[Invoice (AED)]]/3.673</f>
        <v>0</v>
      </c>
      <c r="CY10" s="51" cm="1">
        <f t="array" ref="CY10">_xlfn.IFS(Table1[[#This Row],[STATUS]]="Cancelled",,Table1[[#This Row],[STATUS]]="Pending",,Table1[[#This Row],[STATUS]]="Not Due",,ISNONTEXT(Table1[[#This Row],[CRD]]),Table1[[#This Row],[CRD]]-Table1[[#This Row],[PO NEED BY DATE]])</f>
        <v>-45947</v>
      </c>
      <c r="CZ10" s="51">
        <f>IF(Table1[[#This Row],[CRD]]&lt;&gt;"", Table1[[#This Row],[CRD]]-Table1[[#This Row],[PO CREATION DATE]], 0)</f>
        <v>0</v>
      </c>
      <c r="DA10" s="51">
        <f>IF(Table1[[#This Row],[REVISED ETD]]&lt;&gt;"", Table1[[#This Row],[REVISED ETD]]-Table1[[#This Row],[CRD]], Table1[[#This Row],[ETD]]-Table1[[#This Row],[CRD]])</f>
        <v>46002</v>
      </c>
      <c r="DB10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2</v>
      </c>
      <c r="DC10" s="51">
        <f>IF(Table1[[#This Row],[REVISED ETA]]&lt;&gt;"", Table1[[#This Row],[DEL]]-Table1[[#This Row],[REVISED ETA]], Table1[[#This Row],[DEL]]-Table1[[#This Row],[ETA]])</f>
        <v>-46004</v>
      </c>
      <c r="DD10" s="51" cm="1">
        <f t="array" ref="DD10">_xlfn.IFS(Table1[[#This Row],[STATUS]]="Cancelled",,Table1[[#This Row],[STATUS]]="Pending",,Table1[[#This Row],[STATUS]]="Not Due",,ISNONTEXT(Table1[[#This Row],[ETD]]),Table1[[#This Row],[ETA]]-Table1[[#This Row],[PO NEED BY DATE]])</f>
        <v>57</v>
      </c>
      <c r="DE10" s="51">
        <f>Table1[[#This Row],[PO NEED BY DATE]]-Table1[[#This Row],[DEL]]</f>
        <v>45947</v>
      </c>
      <c r="DF10" s="53">
        <f>SUM(Table1[[#This Row],[CRD TO ETD]],Table1[[#This Row],[ETD TO ETA]],Table1[[#This Row],[ETA TO DEL]],Table1[[#This Row],[NBD TO ETA]],Table1[[#This Row],[NBD TO DEL]])</f>
        <v>46004</v>
      </c>
      <c r="DG10" s="38"/>
      <c r="DH10" s="24"/>
    </row>
    <row r="11" spans="1:112" x14ac:dyDescent="0.35">
      <c r="A11" s="7"/>
      <c r="B11" s="7"/>
      <c r="C11" t="s">
        <v>326</v>
      </c>
      <c r="D11" s="7" t="s">
        <v>348</v>
      </c>
      <c r="E11" s="23"/>
      <c r="F11" s="74" t="s">
        <v>424</v>
      </c>
      <c r="G11" t="s">
        <v>426</v>
      </c>
      <c r="H11" s="26" t="s">
        <v>435</v>
      </c>
      <c r="I11" s="24"/>
      <c r="J11" s="24"/>
      <c r="K11" s="24"/>
      <c r="L11" s="25"/>
      <c r="M11" s="25"/>
      <c r="N11" s="27"/>
      <c r="O11" s="24"/>
      <c r="P11" s="24"/>
      <c r="Q11" s="24"/>
      <c r="R11" s="24"/>
      <c r="S11" s="24"/>
      <c r="T11" s="24"/>
      <c r="U11" s="24"/>
      <c r="V11" s="43"/>
      <c r="W11" s="43"/>
      <c r="X11" s="43"/>
      <c r="Y11" s="43"/>
      <c r="Z11" s="24"/>
      <c r="AA11" s="8">
        <v>45945</v>
      </c>
      <c r="AB11" s="8">
        <v>45945</v>
      </c>
      <c r="AC11" s="8">
        <v>45945</v>
      </c>
      <c r="AD11" s="8">
        <v>45947</v>
      </c>
      <c r="AE11" s="8">
        <v>45948</v>
      </c>
      <c r="AF11" s="29"/>
      <c r="AG11" s="30"/>
      <c r="AH11" s="30"/>
      <c r="AI11" s="30"/>
      <c r="AJ11" s="30"/>
      <c r="AK11" s="30"/>
      <c r="AL11" s="30"/>
      <c r="AM11" s="31"/>
      <c r="AN11" s="30"/>
      <c r="AO11" s="32" t="s">
        <v>344</v>
      </c>
      <c r="AP11" s="24"/>
      <c r="AQ11" s="33">
        <v>10000</v>
      </c>
      <c r="AR11" s="34"/>
      <c r="AS11" s="42"/>
      <c r="AT11" s="42"/>
      <c r="AU11" s="42"/>
      <c r="AV11" s="24"/>
      <c r="AW11" s="77"/>
      <c r="AX11" s="24"/>
      <c r="AY11" s="24"/>
      <c r="AZ11" s="32"/>
      <c r="BA11" s="45">
        <f>IF(Table1[[#This Row],[PO APPR DATE]]&gt;0,IF(Table1[[#This Row],[PO APPR DATE]]-Table1[[#This Row],[PR APPR DATE]]&lt;=5,1,1-ABS(Table1[[#This Row],[PO APPR DATE]]-Table1[[#This Row],[PR APPR DATE]])/5),0)</f>
        <v>1</v>
      </c>
      <c r="BB11" s="40" cm="1">
        <f t="array" ref="BB11">IFERROR(_xlfn.IFS(ISBLANK(Table1[[#This Row],[PO APPR DATE]]),0,Table1[[#This Row],[CRD]]="",0,Table1[[#This Row],[CRD]]-Table1[[#This Row],[PO APPR DATE]]&lt;=VLOOKUP(Table1[[#This Row],[Supplier ]],SupplierLeadTimeMaster!$A$2:$B$235,2,0),1,(Table1[[#This Row],[CRD]]-Table1[[#This Row],[PO APPR DATE]])&gt;VLOOKUP(Table1[[#This Row],[Supplier ]],SupplierLeadTimeMaster!$A$2:$B$235,2,0),1-ABS(Table1[[#This Row],[CRD]]-Table1[[#This Row],[PO APPR DATE]])/VLOOKUP(Table1[[#This Row],[Supplier ]],SupplierLeadTimeMaster!$A$2:$B$235,2,0)),"")</f>
        <v>0</v>
      </c>
      <c r="BC11" s="45">
        <f>IFERROR(IF(AND(Table1[[#This Row],[ETD]]&gt;0,Table1[[#This Row],[No of Days ISS Cont Booking LT]]&gt;0),IF((Table1[[#This Row],[ETD]]-Table1[[#This Row],[CRD]])&lt;=7,1,1-ABS(Table1[[#This Row],[ETD]]-Table1[[#This Row],[CRD]])/7),0),"")</f>
        <v>0</v>
      </c>
      <c r="BD11" s="45" cm="1">
        <f t="array" ref="BD11">_xlfn.IFS(Table1[[#This Row],[DEL]]="",0,Table1[[#This Row],[ORG COUNTRY]]="",0,ISBLANK(Table1[[#This Row],[ETD]]),0,Table1[[#This Row],[ETA]]="",0,Table1[[#This Row],[ETA]]-Table1[[#This Row],[ETD]]&lt;=VLOOKUP(Table1[[#This Row],[ORG COUNTRY]],CountryTransitTimeMaster!$B$2:$C$44,2,FALSE),1,Table1[[#This Row],[ETA]]-Table1[[#This Row],[ETD]]&gt;VLOOKUP(Table1[[#This Row],[ORG COUNTRY]],CountryTransitTimeMaster!$B$2:$C$44,2,FALSE),1-ABS(Table1[[#This Row],[ETA]]-Table1[[#This Row],[ETD]])/VLOOKUP(Table1[[#This Row],[ORG COUNTRY]],CountryTransitTimeMaster!$B$2:$C$44,2,FALSE))</f>
        <v>0</v>
      </c>
      <c r="BE11" s="45" cm="1">
        <f t="array" ref="BE11">_xlfn.IFS(Table1[[#This Row],[DEL]]="",0,ISBLANK(Table1[[#This Row],[DEL]]),0,Table1[[#This Row],[DEL]]-Table1[[#This Row],[ETA]]&lt;=3,1,(Table1[[#This Row],[DEL]]-Table1[[#This Row],[ETA]])&gt;3,1-ABS(Table1[[#This Row],[DEL]]-Table1[[#This Row],[ETA]])/3)</f>
        <v>0</v>
      </c>
      <c r="BF11" s="45">
        <f>IFERROR(IF(Table1[[#This Row],[E2E Total LT]]&gt;0,1-ABS(Table1[[#This Row],[E2E Total LT]]-Table1[[#This Row],[No of Days Total Comm LT (as per contract)]])/Table1[[#This Row],[No of Days Total Comm LT (as per contract)]],0),"")</f>
        <v>0</v>
      </c>
      <c r="BG11" s="47" cm="1">
        <f t="array" ref="BG11">_xlfn.IFS(Table1[[#This Row],[DEL]]="",0,Table1[[#This Row],[STATUS]]="Cancelled",0,Table1[[#This Row],[ORG COUNTRY]]="",0,ISNONTEXT(Table1[[#This Row],[DEL]]),SUM(VLOOKUP(Table1[[#This Row],[Supplier ]],SupplierLeadTimeMaster!$A$2:$B$235,2,FALSE),VLOOKUP(Table1[[#This Row],[ORG COUNTRY]],CountryTransitTimeMaster!$B$2:$C$44,2,FALSE),7,3,5))</f>
        <v>0</v>
      </c>
      <c r="BH11" s="47">
        <f>IFERROR(IF(SUM(Table1[[#This Row],[No of Days Order Placement LT]],Table1[[#This Row],[No of Days Supplier Production Lead Time]],Table1[[#This Row],[No of Days Custom Clearance LT]],Table1[[#This Row],[No of Days ISS Cont Booking LT]],Table1[[#This Row],[No of Days Transit LT]])&gt;500,0,SUM(Table1[[#This Row],[No of Days Order Placement LT]],Table1[[#This Row],[No of Days Supplier Production Lead Time]],Table1[[#This Row],[No of Days Custom Clearance LT]],Table1[[#This Row],[No of Days ISS Cont Booking LT]],Table1[[#This Row],[No of Days Transit LT]])),0)</f>
        <v>0</v>
      </c>
      <c r="BI11" s="24" t="str" cm="1">
        <f t="array" ref="BI11">IFERROR(_xlfn.IFS((Table1[[#This Row],[No of Days Supplier Production Lead Time]])=" "," ",Table1[[#This Row],[Actual Lead (PO to Date)]]-Table1[[#This Row],[No of Days Total Comm LT (as per contract)]]&lt;=15,"Healthy",Table1[[#This Row],[Actual Lead (PO to Date)]]-Table1[[#This Row],[No of Days Total Comm LT (as per contract)]]&lt;=30,"Minor",Table1[[#This Row],[Actual Lead (PO to Date)]]-Table1[[#This Row],[No of Days Total Comm LT (as per contract)]]&lt;=45,"Moderate",Table1[[#This Row],[Actual Lead (PO to Date)]]-Table1[[#This Row],[No of Days Total Comm LT (as per contract)]]&lt;=60,"Major",Table1[[#This Row],[Actual Lead (PO to Date)]]-Table1[[#This Row],[No of Days Total Comm LT (as per contract)]]&gt;60,"Severe",ISBLANK(Table1[[#This Row],[DEL]])," ",ISBLANK(Table1[[#This Row],[ETA]])," ",ISBLANK(Table1[[#This Row],[ETD]])," ",ISBLANK(Table1[[#This Row],[PR APPR DATE]])," ",ISBLANK(Table1[[#This Row],[Actual Lead (PO to Date)]])," ",ISBLANK(Table1[[#This Row],[No of Days Total Comm LT (as per contract)]])," ")," ")</f>
        <v>Healthy</v>
      </c>
      <c r="BJ11" s="24" t="str" cm="1">
        <f t="array" ref="BJ11">IFERROR(_xlfn.IFS(Table1[[#This Row],[HEALTH CHECK]]=" ","",Table1[[#This Row],[HEALTH CHECK]]="Healthy"," ",Table1[[#This Row],[ON TIME ORDER PLACEMENT PERF %]]&lt;100%,"PR to PO Delay",Table1[[#This Row],[Supplier committed product readiness performance % ]]&lt;100%,"Product Readiness Delay",Table1[[#This Row],[ISS container booking performance %]]&lt;100%,"Booking Delay",Table1[[#This Row],[ISS Transit Lead Time Perf %]]&lt;100%,"Trans Shipment Delay",Table1[[#This Row],[ISS custom clearance Perf % ]]&lt;100%,"Custom Clearance Delay")," ")</f>
        <v xml:space="preserve"> </v>
      </c>
      <c r="BK11" s="47" cm="1">
        <f t="array" ref="BK11">_xlfn.IFS(ISBLANK(Table1[[#This Row],[PR APPR DATE]]),0,ISBLANK(Table1[[#This Row],[PO APPR DATE]]),0,ISNONTEXT(Table1[[#This Row],[PO APPR DATE]]),Table1[[#This Row],[PO APPR DATE]]-Table1[[#This Row],[PR APPR DATE]])</f>
        <v>0</v>
      </c>
      <c r="BL11" s="47" cm="1">
        <f t="array" ref="BL11">_xlfn.IFS((Table1[[#This Row],[DEL]])="",0,ISBLANK(Table1[[#This Row],[CRD]]),0,ISBLANK(Table1[[#This Row],[PO APPR DATE]]),0,ISNONTEXT(Table1[[#This Row],[PO APPR DATE]]),Table1[[#This Row],[CRD]]-Table1[[#This Row],[PO APPR DATE]])</f>
        <v>0</v>
      </c>
      <c r="BM11" s="47">
        <f>IFERROR(IF(Table1[[#This Row],[DEL]]&gt;0,Table1[[#This Row],[DEL]]-Table1[[#This Row],[ETA]],0),0)</f>
        <v>0</v>
      </c>
      <c r="BN11" s="47">
        <f>IFERROR(IF(Table1[[#This Row],[ETD]]&gt;0,(Table1[[#This Row],[ETD]]-Table1[[#This Row],[CRD]]),0),"")</f>
        <v>0</v>
      </c>
      <c r="BO11" s="47">
        <f>IFERROR(IF(Table1[[#This Row],[ETA]]&gt;0,(Table1[[#This Row],[ETA]]-Table1[[#This Row],[ETD]]),0),0)</f>
        <v>0</v>
      </c>
      <c r="BP11" s="47" cm="1">
        <f t="array" ref="BP11">_xlfn.IFS(Table1[[#This Row],[DEL]]="",0,Table1[[#This Row],[DEL]]="",0,ISBLANK(Table1[[#This Row],[PR APPR DATE]]),0,ISBLANK(Table1[[#This Row],[DEL]]),0,ISNONTEXT(Table1[[#This Row],[PR APPR DATE]]),Table1[[#This Row],[DEL]]-Table1[[#This Row],[PR APPR DATE]],Table1[[#This Row],[DEL]]="",0)</f>
        <v>0</v>
      </c>
      <c r="BQ11" s="49">
        <f>Table1[[#This Row],[ORG CHGS (AED)]]/3.673</f>
        <v>0</v>
      </c>
      <c r="BR11" s="49">
        <f>Table1[[#This Row],[FRT CHGS (AED)]]/3.673</f>
        <v>0</v>
      </c>
      <c r="BS11" s="49">
        <f>Table1[[#This Row],[DEST CHGS (AED)]]/3.673</f>
        <v>0</v>
      </c>
      <c r="BT11" s="42"/>
      <c r="BU11" s="24"/>
      <c r="BV11" s="42"/>
      <c r="BW11" s="42"/>
      <c r="BX11" s="42"/>
      <c r="BY11" s="42">
        <f>SUM(Table1[[#This Row],[ORG CHGS (AED)]],Table1[[#This Row],[FRT CHGS (AED)]],Table1[[#This Row],[DEST CHGS (AED)]])</f>
        <v>0</v>
      </c>
      <c r="BZ11" s="42">
        <f>SUM(Table1[[#This Row],[P2P VALUE]]+Table1[[#This Row],[Ancillary Charges (AED)]])</f>
        <v>0</v>
      </c>
      <c r="CA11" s="24"/>
      <c r="CB11" s="84"/>
      <c r="CC11" s="29"/>
      <c r="CD11" s="24" t="str">
        <f>IF(ISBLANK(Table1[[#This Row],[PR DATE]]),"Pending","Logged")</f>
        <v>Pending</v>
      </c>
      <c r="CE11" s="82"/>
      <c r="CF11" s="24" t="str">
        <f>IF(ISBLANK(Table1[[#This Row],[SPO '#]]),"Pending","Received")</f>
        <v>Pending</v>
      </c>
      <c r="CG11" s="42"/>
      <c r="CH11" s="24"/>
      <c r="CI11" s="24"/>
      <c r="CJ11" s="24" t="str" cm="1">
        <f t="array" ref="CJ11">_xlfn.IFS(ISTEXT(Table1[[#This Row],[Invoice '#]]),"Billed",Table1[[#This Row],[PO STATUS]]="Received","Pending",Table1[[#This Row],[PO STATUS]]="Pending","Pending")</f>
        <v>Pending</v>
      </c>
      <c r="CK11" s="24"/>
      <c r="CL11" s="82"/>
      <c r="CM11" s="24" t="str">
        <f>IF(ISBLANK(Table1[[#This Row],[GRN]]),"Pending","Complete")</f>
        <v>Pending</v>
      </c>
      <c r="CN11" s="24"/>
      <c r="CO11" s="35"/>
      <c r="CP11" s="24"/>
      <c r="CQ11" s="24"/>
      <c r="CR11" s="36"/>
      <c r="CS11" s="30"/>
      <c r="CT11" s="37"/>
      <c r="CU11" s="43" t="str">
        <f>IF(Table1[[#This Row],[DEL]]="","",Table1[[#This Row],[REVISED ETD]]-Table1[[#This Row],[ETD]])</f>
        <v/>
      </c>
      <c r="CV11" s="43" t="str">
        <f>IF(Table1[[#This Row],[DEL]]="","",Table1[[#This Row],[REVISED ETA]]-Table1[[#This Row],[ETA]])</f>
        <v/>
      </c>
      <c r="CW11" s="43" t="str">
        <f>IF(Table1[[#This Row],[DEL]]="","",Table1[[#This Row],[ETA]]-Table1[[#This Row],[PO NEED BY DATE]])</f>
        <v/>
      </c>
      <c r="CX11" s="42">
        <f>Table1[[#This Row],[Invoice (AED)]]/3.673</f>
        <v>0</v>
      </c>
      <c r="CY11" s="51" cm="1">
        <f t="array" ref="CY11">_xlfn.IFS(Table1[[#This Row],[STATUS]]="Cancelled",,Table1[[#This Row],[STATUS]]="Pending",,Table1[[#This Row],[STATUS]]="Not Due",,ISNONTEXT(Table1[[#This Row],[CRD]]),Table1[[#This Row],[CRD]]-Table1[[#This Row],[PO NEED BY DATE]])</f>
        <v>-45948</v>
      </c>
      <c r="CZ11" s="51">
        <f>IF(Table1[[#This Row],[CRD]]&lt;&gt;"", Table1[[#This Row],[CRD]]-Table1[[#This Row],[PO CREATION DATE]], 0)</f>
        <v>0</v>
      </c>
      <c r="DA11" s="51">
        <f>IF(Table1[[#This Row],[REVISED ETD]]&lt;&gt;"", Table1[[#This Row],[REVISED ETD]]-Table1[[#This Row],[CRD]], Table1[[#This Row],[ETD]]-Table1[[#This Row],[CRD]])</f>
        <v>0</v>
      </c>
      <c r="DB11" s="51">
        <f>IF(AND(Table1[[#This Row],[REVISED ETD]]&lt;&gt;"", Table1[[#This Row],[REVISED ETA]]&lt;&gt;""), Table1[[#This Row],[REVISED ETA]]-Table1[[#This Row],[REVISED ETD]],
   IF(AND(Table1[[#This Row],[REVISED ETA]]&lt;&gt;"", Table1[[#This Row],[REVISED ETD]]=""), Table1[[#This Row],[REVISED ETA]]-Table1[[#This Row],[ETD]],
      IF(AND(Table1[[#This Row],[REVISED ETA]]="", Table1[[#This Row],[REVISED ETD]]&lt;&gt;""), Table1[[#This Row],[ETA]]-Table1[[#This Row],[REVISED ETD]],
         IF(AND(Table1[[#This Row],[REVISED ETA]]="", Table1[[#This Row],[REVISED ETD]]=""), Table1[[#This Row],[ETA]]-Table1[[#This Row],[ETD]], "")
      )
   )
)</f>
        <v>0</v>
      </c>
      <c r="DC11" s="51">
        <f>IF(Table1[[#This Row],[REVISED ETA]]&lt;&gt;"", Table1[[#This Row],[DEL]]-Table1[[#This Row],[REVISED ETA]], Table1[[#This Row],[DEL]]-Table1[[#This Row],[ETA]])</f>
        <v>0</v>
      </c>
      <c r="DD11" s="51" cm="1">
        <f t="array" ref="DD11">_xlfn.IFS(Table1[[#This Row],[STATUS]]="Cancelled",,Table1[[#This Row],[STATUS]]="Pending",,Table1[[#This Row],[STATUS]]="Not Due",,ISNONTEXT(Table1[[#This Row],[ETD]]),Table1[[#This Row],[ETA]]-Table1[[#This Row],[PO NEED BY DATE]])</f>
        <v>-45948</v>
      </c>
      <c r="DE11" s="51">
        <f>Table1[[#This Row],[PO NEED BY DATE]]-Table1[[#This Row],[DEL]]</f>
        <v>45948</v>
      </c>
      <c r="DF11" s="53">
        <f>SUM(Table1[[#This Row],[CRD TO ETD]],Table1[[#This Row],[ETD TO ETA]],Table1[[#This Row],[ETA TO DEL]],Table1[[#This Row],[NBD TO ETA]],Table1[[#This Row],[NBD TO DEL]])</f>
        <v>0</v>
      </c>
      <c r="DG11" s="38"/>
      <c r="DH11" s="24"/>
    </row>
  </sheetData>
  <conditionalFormatting sqref="F1">
    <cfRule type="duplicateValues" dxfId="12" priority="122"/>
    <cfRule type="duplicateValues" dxfId="11" priority="123"/>
  </conditionalFormatting>
  <conditionalFormatting sqref="G1:G2">
    <cfRule type="duplicateValues" dxfId="10" priority="124"/>
  </conditionalFormatting>
  <conditionalFormatting sqref="H1:H2">
    <cfRule type="duplicateValues" dxfId="9" priority="125"/>
    <cfRule type="duplicateValues" dxfId="8" priority="126"/>
  </conditionalFormatting>
  <conditionalFormatting sqref="M1:M2">
    <cfRule type="duplicateValues" dxfId="7" priority="127"/>
  </conditionalFormatting>
  <conditionalFormatting sqref="M1:N2">
    <cfRule type="containsText" dxfId="6" priority="116" operator="containsText" text="TBA">
      <formula>NOT(ISERROR(SEARCH("TBA",M1)))</formula>
    </cfRule>
  </conditionalFormatting>
  <conditionalFormatting sqref="O1:O2">
    <cfRule type="containsText" dxfId="5" priority="115" operator="containsText" text="TBA">
      <formula>NOT(ISERROR(SEARCH("TBA",O1)))</formula>
    </cfRule>
  </conditionalFormatting>
  <conditionalFormatting sqref="BI1:BI2">
    <cfRule type="containsText" dxfId="4" priority="111" operator="containsText" text="HEALTHY&#10;CHECK">
      <formula>NOT(ISERROR(SEARCH("HEALTHY
CHECK",BI1)))</formula>
    </cfRule>
    <cfRule type="containsText" dxfId="3" priority="112" operator="containsText" text="Minor&#10;CHECK">
      <formula>NOT(ISERROR(SEARCH("Minor
CHECK",BI1)))</formula>
    </cfRule>
    <cfRule type="containsText" dxfId="2" priority="113" operator="containsText" text="Severe&#10;CHECK">
      <formula>NOT(ISERROR(SEARCH("Severe
CHECK",BI1)))</formula>
    </cfRule>
    <cfRule type="containsText" dxfId="1" priority="114" operator="containsText" text="HEALTHY&#10;CHECK">
      <formula>NOT(ISERROR(SEARCH("HEALTHY
CHECK",BI1)))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4FC1-E7ED-4C0B-A92B-F4410506C82F}">
  <dimension ref="A1:D8"/>
  <sheetViews>
    <sheetView workbookViewId="0">
      <selection sqref="A1:XFD1048576"/>
    </sheetView>
  </sheetViews>
  <sheetFormatPr defaultRowHeight="14.5" x14ac:dyDescent="0.35"/>
  <cols>
    <col min="1" max="1" width="12.1796875" bestFit="1" customWidth="1"/>
    <col min="2" max="2" width="28.1796875" bestFit="1" customWidth="1"/>
    <col min="3" max="3" width="11.81640625" bestFit="1" customWidth="1"/>
    <col min="4" max="4" width="6.1796875" bestFit="1" customWidth="1"/>
  </cols>
  <sheetData>
    <row r="1" spans="1:4" x14ac:dyDescent="0.35">
      <c r="A1" s="78" t="s">
        <v>371</v>
      </c>
      <c r="B1" s="78" t="s">
        <v>372</v>
      </c>
      <c r="C1" s="78" t="s">
        <v>373</v>
      </c>
      <c r="D1" s="79" t="s">
        <v>374</v>
      </c>
    </row>
    <row r="2" spans="1:4" x14ac:dyDescent="0.35">
      <c r="A2" s="1" t="s">
        <v>375</v>
      </c>
      <c r="B2" s="1" t="s">
        <v>376</v>
      </c>
      <c r="C2" s="1" t="s">
        <v>377</v>
      </c>
      <c r="D2" s="80" t="s">
        <v>378</v>
      </c>
    </row>
    <row r="3" spans="1:4" x14ac:dyDescent="0.35">
      <c r="A3" s="1" t="s">
        <v>375</v>
      </c>
      <c r="B3" s="1" t="s">
        <v>379</v>
      </c>
      <c r="C3" s="1" t="s">
        <v>377</v>
      </c>
      <c r="D3" s="80" t="s">
        <v>378</v>
      </c>
    </row>
    <row r="4" spans="1:4" x14ac:dyDescent="0.35">
      <c r="A4" s="1" t="s">
        <v>385</v>
      </c>
      <c r="B4" s="1" t="s">
        <v>386</v>
      </c>
      <c r="C4" s="1" t="s">
        <v>377</v>
      </c>
      <c r="D4" s="80" t="s">
        <v>378</v>
      </c>
    </row>
    <row r="5" spans="1:4" x14ac:dyDescent="0.35">
      <c r="A5" s="1" t="s">
        <v>385</v>
      </c>
      <c r="B5" s="1" t="s">
        <v>388</v>
      </c>
      <c r="C5" s="1" t="s">
        <v>377</v>
      </c>
      <c r="D5" s="80" t="s">
        <v>378</v>
      </c>
    </row>
    <row r="6" spans="1:4" x14ac:dyDescent="0.35">
      <c r="A6" s="1" t="s">
        <v>385</v>
      </c>
      <c r="B6" s="1" t="s">
        <v>379</v>
      </c>
      <c r="C6" s="1" t="s">
        <v>377</v>
      </c>
      <c r="D6" s="80" t="s">
        <v>378</v>
      </c>
    </row>
    <row r="7" spans="1:4" x14ac:dyDescent="0.35">
      <c r="A7" s="1" t="s">
        <v>385</v>
      </c>
      <c r="B7" s="1" t="s">
        <v>376</v>
      </c>
      <c r="C7" s="1" t="s">
        <v>377</v>
      </c>
      <c r="D7" s="80" t="s">
        <v>378</v>
      </c>
    </row>
    <row r="8" spans="1:4" x14ac:dyDescent="0.35">
      <c r="A8" s="1" t="s">
        <v>389</v>
      </c>
      <c r="B8" s="1" t="s">
        <v>390</v>
      </c>
      <c r="C8" s="1" t="s">
        <v>377</v>
      </c>
      <c r="D8" s="80" t="s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24FD-A866-4874-9099-7DB03410635B}">
  <dimension ref="A1:D10"/>
  <sheetViews>
    <sheetView workbookViewId="0">
      <selection sqref="A1:D10"/>
    </sheetView>
  </sheetViews>
  <sheetFormatPr defaultRowHeight="14.5" x14ac:dyDescent="0.35"/>
  <sheetData>
    <row r="1" spans="1:4" x14ac:dyDescent="0.35">
      <c r="A1" s="78" t="s">
        <v>371</v>
      </c>
      <c r="B1" s="78" t="s">
        <v>372</v>
      </c>
      <c r="C1" s="78" t="s">
        <v>373</v>
      </c>
      <c r="D1" s="79" t="s">
        <v>374</v>
      </c>
    </row>
    <row r="2" spans="1:4" x14ac:dyDescent="0.35">
      <c r="A2" s="1" t="s">
        <v>375</v>
      </c>
      <c r="B2" s="1" t="s">
        <v>380</v>
      </c>
      <c r="C2" s="1" t="s">
        <v>381</v>
      </c>
      <c r="D2" s="80" t="s">
        <v>378</v>
      </c>
    </row>
    <row r="3" spans="1:4" x14ac:dyDescent="0.35">
      <c r="A3" s="1" t="s">
        <v>375</v>
      </c>
      <c r="B3" s="1" t="s">
        <v>382</v>
      </c>
      <c r="C3" s="1" t="s">
        <v>381</v>
      </c>
      <c r="D3" s="80" t="s">
        <v>378</v>
      </c>
    </row>
    <row r="4" spans="1:4" x14ac:dyDescent="0.35">
      <c r="A4" s="1" t="s">
        <v>375</v>
      </c>
      <c r="B4" s="1" t="s">
        <v>383</v>
      </c>
      <c r="C4" s="1" t="s">
        <v>381</v>
      </c>
      <c r="D4" s="80" t="s">
        <v>378</v>
      </c>
    </row>
    <row r="5" spans="1:4" x14ac:dyDescent="0.35">
      <c r="A5" s="1" t="s">
        <v>375</v>
      </c>
      <c r="B5" s="1" t="s">
        <v>384</v>
      </c>
      <c r="C5" s="1" t="s">
        <v>381</v>
      </c>
      <c r="D5" s="80" t="s">
        <v>378</v>
      </c>
    </row>
    <row r="6" spans="1:4" x14ac:dyDescent="0.35">
      <c r="A6" s="1" t="s">
        <v>385</v>
      </c>
      <c r="B6" s="1" t="s">
        <v>386</v>
      </c>
      <c r="C6" s="1" t="s">
        <v>381</v>
      </c>
      <c r="D6" s="80" t="s">
        <v>378</v>
      </c>
    </row>
    <row r="7" spans="1:4" x14ac:dyDescent="0.35">
      <c r="A7" s="1" t="s">
        <v>385</v>
      </c>
      <c r="B7" s="1" t="s">
        <v>379</v>
      </c>
      <c r="C7" s="1" t="s">
        <v>381</v>
      </c>
      <c r="D7" s="80" t="s">
        <v>378</v>
      </c>
    </row>
    <row r="8" spans="1:4" x14ac:dyDescent="0.35">
      <c r="A8" s="1" t="s">
        <v>385</v>
      </c>
      <c r="B8" s="1" t="s">
        <v>387</v>
      </c>
      <c r="C8" s="1" t="s">
        <v>381</v>
      </c>
      <c r="D8" s="80" t="s">
        <v>378</v>
      </c>
    </row>
    <row r="9" spans="1:4" x14ac:dyDescent="0.35">
      <c r="A9" s="1" t="s">
        <v>389</v>
      </c>
      <c r="B9" s="1" t="s">
        <v>393</v>
      </c>
      <c r="C9" s="1" t="s">
        <v>381</v>
      </c>
      <c r="D9" s="80" t="s">
        <v>378</v>
      </c>
    </row>
    <row r="10" spans="1:4" x14ac:dyDescent="0.35">
      <c r="A10" s="1" t="s">
        <v>352</v>
      </c>
      <c r="B10" s="1" t="s">
        <v>393</v>
      </c>
      <c r="C10" s="1" t="s">
        <v>381</v>
      </c>
      <c r="D10" s="80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8223-9E33-4CC0-B246-FBE4C4AEA7E4}">
  <dimension ref="A1:D3"/>
  <sheetViews>
    <sheetView workbookViewId="0">
      <selection activeCell="A4" sqref="A4:XFD4"/>
    </sheetView>
  </sheetViews>
  <sheetFormatPr defaultRowHeight="14.5" x14ac:dyDescent="0.35"/>
  <cols>
    <col min="1" max="1" width="12.1796875" bestFit="1" customWidth="1"/>
    <col min="2" max="2" width="14.26953125" bestFit="1" customWidth="1"/>
    <col min="3" max="3" width="12.6328125" bestFit="1" customWidth="1"/>
    <col min="4" max="4" width="6.1796875" bestFit="1" customWidth="1"/>
  </cols>
  <sheetData>
    <row r="1" spans="1:4" x14ac:dyDescent="0.35">
      <c r="A1" s="78" t="s">
        <v>371</v>
      </c>
      <c r="B1" s="78" t="s">
        <v>372</v>
      </c>
      <c r="C1" s="78" t="s">
        <v>373</v>
      </c>
      <c r="D1" s="79" t="s">
        <v>374</v>
      </c>
    </row>
    <row r="2" spans="1:4" x14ac:dyDescent="0.35">
      <c r="A2" s="1" t="s">
        <v>389</v>
      </c>
      <c r="B2" s="1" t="s">
        <v>391</v>
      </c>
      <c r="C2" s="1" t="s">
        <v>392</v>
      </c>
      <c r="D2" s="80" t="s">
        <v>378</v>
      </c>
    </row>
    <row r="3" spans="1:4" x14ac:dyDescent="0.35">
      <c r="A3" s="1" t="s">
        <v>352</v>
      </c>
      <c r="B3" s="1" t="s">
        <v>391</v>
      </c>
      <c r="C3" s="1" t="s">
        <v>392</v>
      </c>
      <c r="D3" s="80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1AD4-36A1-48E7-ADFD-05687CBE0AF5}">
  <dimension ref="A1:D59"/>
  <sheetViews>
    <sheetView workbookViewId="0">
      <selection sqref="A1:XFD1048576"/>
    </sheetView>
  </sheetViews>
  <sheetFormatPr defaultRowHeight="14.5" x14ac:dyDescent="0.35"/>
  <cols>
    <col min="1" max="1" width="14.1796875" bestFit="1" customWidth="1"/>
    <col min="2" max="2" width="24" bestFit="1" customWidth="1"/>
    <col min="3" max="3" width="14" bestFit="1" customWidth="1"/>
    <col min="4" max="4" width="6.1796875" bestFit="1" customWidth="1"/>
  </cols>
  <sheetData>
    <row r="1" spans="1:4" x14ac:dyDescent="0.35">
      <c r="A1" s="78" t="s">
        <v>371</v>
      </c>
      <c r="B1" s="78" t="s">
        <v>372</v>
      </c>
      <c r="C1" s="78" t="s">
        <v>373</v>
      </c>
      <c r="D1" s="79" t="s">
        <v>374</v>
      </c>
    </row>
    <row r="2" spans="1:4" x14ac:dyDescent="0.35">
      <c r="A2" s="1" t="s">
        <v>385</v>
      </c>
      <c r="B2" s="1" t="s">
        <v>394</v>
      </c>
      <c r="C2" s="1" t="s">
        <v>395</v>
      </c>
      <c r="D2" s="80" t="s">
        <v>378</v>
      </c>
    </row>
    <row r="3" spans="1:4" x14ac:dyDescent="0.35">
      <c r="A3" s="1" t="s">
        <v>385</v>
      </c>
      <c r="B3" s="1" t="s">
        <v>396</v>
      </c>
      <c r="C3" s="1" t="s">
        <v>395</v>
      </c>
      <c r="D3" s="80" t="s">
        <v>378</v>
      </c>
    </row>
    <row r="4" spans="1:4" x14ac:dyDescent="0.35">
      <c r="A4" s="1" t="s">
        <v>385</v>
      </c>
      <c r="B4" s="1" t="s">
        <v>397</v>
      </c>
      <c r="C4" s="1" t="s">
        <v>395</v>
      </c>
      <c r="D4" s="80" t="s">
        <v>378</v>
      </c>
    </row>
    <row r="5" spans="1:4" x14ac:dyDescent="0.35">
      <c r="A5" s="1" t="s">
        <v>385</v>
      </c>
      <c r="B5" s="1" t="s">
        <v>398</v>
      </c>
      <c r="C5" s="1" t="s">
        <v>395</v>
      </c>
      <c r="D5" s="80" t="s">
        <v>378</v>
      </c>
    </row>
    <row r="6" spans="1:4" x14ac:dyDescent="0.35">
      <c r="A6" s="1" t="s">
        <v>385</v>
      </c>
      <c r="B6" s="1" t="s">
        <v>399</v>
      </c>
      <c r="C6" s="1" t="s">
        <v>395</v>
      </c>
      <c r="D6" s="80" t="s">
        <v>378</v>
      </c>
    </row>
    <row r="7" spans="1:4" x14ac:dyDescent="0.35">
      <c r="A7" s="1" t="s">
        <v>385</v>
      </c>
      <c r="B7" s="1" t="s">
        <v>400</v>
      </c>
      <c r="C7" s="1" t="s">
        <v>395</v>
      </c>
      <c r="D7" s="80" t="s">
        <v>378</v>
      </c>
    </row>
    <row r="8" spans="1:4" x14ac:dyDescent="0.35">
      <c r="A8" s="1" t="s">
        <v>385</v>
      </c>
      <c r="B8" s="1" t="s">
        <v>401</v>
      </c>
      <c r="C8" s="1" t="s">
        <v>395</v>
      </c>
      <c r="D8" s="80" t="s">
        <v>378</v>
      </c>
    </row>
    <row r="9" spans="1:4" x14ac:dyDescent="0.35">
      <c r="A9" s="1" t="s">
        <v>385</v>
      </c>
      <c r="B9" s="1" t="s">
        <v>402</v>
      </c>
      <c r="C9" s="1" t="s">
        <v>395</v>
      </c>
      <c r="D9" s="80" t="s">
        <v>378</v>
      </c>
    </row>
    <row r="10" spans="1:4" x14ac:dyDescent="0.35">
      <c r="A10" s="1" t="s">
        <v>385</v>
      </c>
      <c r="B10" s="1" t="s">
        <v>403</v>
      </c>
      <c r="C10" s="1" t="s">
        <v>395</v>
      </c>
      <c r="D10" s="80" t="s">
        <v>378</v>
      </c>
    </row>
    <row r="11" spans="1:4" x14ac:dyDescent="0.35">
      <c r="A11" s="1" t="s">
        <v>385</v>
      </c>
      <c r="B11" s="1" t="s">
        <v>404</v>
      </c>
      <c r="C11" s="1" t="s">
        <v>395</v>
      </c>
      <c r="D11" s="80" t="s">
        <v>378</v>
      </c>
    </row>
    <row r="12" spans="1:4" x14ac:dyDescent="0.35">
      <c r="A12" s="1" t="s">
        <v>385</v>
      </c>
      <c r="B12" s="1" t="s">
        <v>405</v>
      </c>
      <c r="C12" s="1" t="s">
        <v>395</v>
      </c>
      <c r="D12" s="80" t="s">
        <v>378</v>
      </c>
    </row>
    <row r="13" spans="1:4" x14ac:dyDescent="0.35">
      <c r="A13" s="1" t="s">
        <v>385</v>
      </c>
      <c r="B13" s="1" t="s">
        <v>406</v>
      </c>
      <c r="C13" s="1" t="s">
        <v>395</v>
      </c>
      <c r="D13" s="80" t="s">
        <v>378</v>
      </c>
    </row>
    <row r="14" spans="1:4" x14ac:dyDescent="0.35">
      <c r="A14" s="1" t="s">
        <v>385</v>
      </c>
      <c r="B14" s="1" t="s">
        <v>407</v>
      </c>
      <c r="C14" s="1" t="s">
        <v>395</v>
      </c>
      <c r="D14" s="80" t="s">
        <v>378</v>
      </c>
    </row>
    <row r="15" spans="1:4" x14ac:dyDescent="0.35">
      <c r="A15" s="1" t="s">
        <v>385</v>
      </c>
      <c r="B15" s="1" t="s">
        <v>408</v>
      </c>
      <c r="C15" s="1" t="s">
        <v>395</v>
      </c>
      <c r="D15" s="80" t="s">
        <v>378</v>
      </c>
    </row>
    <row r="16" spans="1:4" x14ac:dyDescent="0.35">
      <c r="A16" s="1" t="s">
        <v>385</v>
      </c>
      <c r="B16" s="1" t="s">
        <v>409</v>
      </c>
      <c r="C16" s="1" t="s">
        <v>395</v>
      </c>
      <c r="D16" s="80" t="s">
        <v>378</v>
      </c>
    </row>
    <row r="17" spans="1:4" x14ac:dyDescent="0.35">
      <c r="A17" s="1" t="s">
        <v>385</v>
      </c>
      <c r="B17" s="1" t="s">
        <v>410</v>
      </c>
      <c r="C17" s="1" t="s">
        <v>395</v>
      </c>
      <c r="D17" s="80" t="s">
        <v>378</v>
      </c>
    </row>
    <row r="18" spans="1:4" x14ac:dyDescent="0.35">
      <c r="A18" s="1" t="s">
        <v>385</v>
      </c>
      <c r="B18" s="1" t="s">
        <v>411</v>
      </c>
      <c r="C18" s="1" t="s">
        <v>395</v>
      </c>
      <c r="D18" s="80" t="s">
        <v>378</v>
      </c>
    </row>
    <row r="19" spans="1:4" x14ac:dyDescent="0.35">
      <c r="A19" s="1" t="s">
        <v>385</v>
      </c>
      <c r="B19" s="1" t="s">
        <v>412</v>
      </c>
      <c r="C19" s="1" t="s">
        <v>395</v>
      </c>
      <c r="D19" s="80" t="s">
        <v>378</v>
      </c>
    </row>
    <row r="20" spans="1:4" x14ac:dyDescent="0.35">
      <c r="A20" s="1" t="s">
        <v>413</v>
      </c>
      <c r="B20" s="1" t="s">
        <v>394</v>
      </c>
      <c r="C20" s="1" t="s">
        <v>395</v>
      </c>
      <c r="D20" s="80" t="s">
        <v>378</v>
      </c>
    </row>
    <row r="21" spans="1:4" x14ac:dyDescent="0.35">
      <c r="A21" s="1" t="s">
        <v>413</v>
      </c>
      <c r="B21" s="1" t="s">
        <v>396</v>
      </c>
      <c r="C21" s="1" t="s">
        <v>395</v>
      </c>
      <c r="D21" s="80" t="s">
        <v>378</v>
      </c>
    </row>
    <row r="22" spans="1:4" x14ac:dyDescent="0.35">
      <c r="A22" s="1" t="s">
        <v>413</v>
      </c>
      <c r="B22" s="1" t="s">
        <v>397</v>
      </c>
      <c r="C22" s="1" t="s">
        <v>395</v>
      </c>
      <c r="D22" s="80" t="s">
        <v>378</v>
      </c>
    </row>
    <row r="23" spans="1:4" x14ac:dyDescent="0.35">
      <c r="A23" s="1" t="s">
        <v>413</v>
      </c>
      <c r="B23" s="1" t="s">
        <v>398</v>
      </c>
      <c r="C23" s="1" t="s">
        <v>395</v>
      </c>
      <c r="D23" s="80" t="s">
        <v>378</v>
      </c>
    </row>
    <row r="24" spans="1:4" x14ac:dyDescent="0.35">
      <c r="A24" s="1" t="s">
        <v>413</v>
      </c>
      <c r="B24" s="1" t="s">
        <v>399</v>
      </c>
      <c r="C24" s="1" t="s">
        <v>395</v>
      </c>
      <c r="D24" s="80" t="s">
        <v>378</v>
      </c>
    </row>
    <row r="25" spans="1:4" x14ac:dyDescent="0.35">
      <c r="A25" s="1" t="s">
        <v>413</v>
      </c>
      <c r="B25" s="1" t="s">
        <v>400</v>
      </c>
      <c r="C25" s="1" t="s">
        <v>395</v>
      </c>
      <c r="D25" s="80" t="s">
        <v>378</v>
      </c>
    </row>
    <row r="26" spans="1:4" x14ac:dyDescent="0.35">
      <c r="A26" s="1" t="s">
        <v>413</v>
      </c>
      <c r="B26" s="1" t="s">
        <v>401</v>
      </c>
      <c r="C26" s="1" t="s">
        <v>395</v>
      </c>
      <c r="D26" s="80" t="s">
        <v>378</v>
      </c>
    </row>
    <row r="27" spans="1:4" x14ac:dyDescent="0.35">
      <c r="A27" s="1" t="s">
        <v>413</v>
      </c>
      <c r="B27" s="1" t="s">
        <v>402</v>
      </c>
      <c r="C27" s="1" t="s">
        <v>395</v>
      </c>
      <c r="D27" s="80" t="s">
        <v>378</v>
      </c>
    </row>
    <row r="28" spans="1:4" x14ac:dyDescent="0.35">
      <c r="A28" s="1" t="s">
        <v>413</v>
      </c>
      <c r="B28" s="1" t="s">
        <v>403</v>
      </c>
      <c r="C28" s="1" t="s">
        <v>395</v>
      </c>
      <c r="D28" s="80" t="s">
        <v>378</v>
      </c>
    </row>
    <row r="29" spans="1:4" x14ac:dyDescent="0.35">
      <c r="A29" s="1" t="s">
        <v>413</v>
      </c>
      <c r="B29" s="1" t="s">
        <v>404</v>
      </c>
      <c r="C29" s="1" t="s">
        <v>395</v>
      </c>
      <c r="D29" s="80" t="s">
        <v>378</v>
      </c>
    </row>
    <row r="30" spans="1:4" x14ac:dyDescent="0.35">
      <c r="A30" s="1" t="s">
        <v>413</v>
      </c>
      <c r="B30" s="1" t="s">
        <v>405</v>
      </c>
      <c r="C30" s="1" t="s">
        <v>395</v>
      </c>
      <c r="D30" s="80" t="s">
        <v>378</v>
      </c>
    </row>
    <row r="31" spans="1:4" x14ac:dyDescent="0.35">
      <c r="A31" s="1" t="s">
        <v>413</v>
      </c>
      <c r="B31" s="1" t="s">
        <v>406</v>
      </c>
      <c r="C31" s="1" t="s">
        <v>395</v>
      </c>
      <c r="D31" s="80" t="s">
        <v>378</v>
      </c>
    </row>
    <row r="32" spans="1:4" x14ac:dyDescent="0.35">
      <c r="A32" s="1" t="s">
        <v>413</v>
      </c>
      <c r="B32" s="1" t="s">
        <v>407</v>
      </c>
      <c r="C32" s="1" t="s">
        <v>395</v>
      </c>
      <c r="D32" s="80" t="s">
        <v>378</v>
      </c>
    </row>
    <row r="33" spans="1:4" x14ac:dyDescent="0.35">
      <c r="A33" s="1" t="s">
        <v>413</v>
      </c>
      <c r="B33" s="1" t="s">
        <v>408</v>
      </c>
      <c r="C33" s="1" t="s">
        <v>395</v>
      </c>
      <c r="D33" s="80" t="s">
        <v>378</v>
      </c>
    </row>
    <row r="34" spans="1:4" x14ac:dyDescent="0.35">
      <c r="A34" s="1" t="s">
        <v>413</v>
      </c>
      <c r="B34" s="1" t="s">
        <v>409</v>
      </c>
      <c r="C34" s="1" t="s">
        <v>395</v>
      </c>
      <c r="D34" s="80" t="s">
        <v>378</v>
      </c>
    </row>
    <row r="35" spans="1:4" x14ac:dyDescent="0.35">
      <c r="A35" s="1" t="s">
        <v>413</v>
      </c>
      <c r="B35" s="1" t="s">
        <v>410</v>
      </c>
      <c r="C35" s="1" t="s">
        <v>395</v>
      </c>
      <c r="D35" s="80" t="s">
        <v>378</v>
      </c>
    </row>
    <row r="36" spans="1:4" x14ac:dyDescent="0.35">
      <c r="A36" s="1" t="s">
        <v>413</v>
      </c>
      <c r="B36" s="1" t="s">
        <v>411</v>
      </c>
      <c r="C36" s="1" t="s">
        <v>395</v>
      </c>
      <c r="D36" s="80" t="s">
        <v>378</v>
      </c>
    </row>
    <row r="37" spans="1:4" x14ac:dyDescent="0.35">
      <c r="A37" s="1" t="s">
        <v>413</v>
      </c>
      <c r="B37" s="1" t="s">
        <v>412</v>
      </c>
      <c r="C37" s="1" t="s">
        <v>395</v>
      </c>
      <c r="D37" s="80" t="s">
        <v>378</v>
      </c>
    </row>
    <row r="38" spans="1:4" x14ac:dyDescent="0.35">
      <c r="A38" s="1" t="s">
        <v>352</v>
      </c>
      <c r="B38" s="1" t="s">
        <v>402</v>
      </c>
      <c r="C38" s="1" t="s">
        <v>395</v>
      </c>
      <c r="D38" s="80" t="s">
        <v>378</v>
      </c>
    </row>
    <row r="39" spans="1:4" x14ac:dyDescent="0.35">
      <c r="A39" s="1" t="s">
        <v>352</v>
      </c>
      <c r="B39" s="1" t="s">
        <v>403</v>
      </c>
      <c r="C39" s="1" t="s">
        <v>395</v>
      </c>
      <c r="D39" s="80" t="s">
        <v>378</v>
      </c>
    </row>
    <row r="40" spans="1:4" x14ac:dyDescent="0.35">
      <c r="A40" s="1" t="s">
        <v>352</v>
      </c>
      <c r="B40" s="1" t="s">
        <v>404</v>
      </c>
      <c r="C40" s="1" t="s">
        <v>395</v>
      </c>
      <c r="D40" s="80" t="s">
        <v>378</v>
      </c>
    </row>
    <row r="41" spans="1:4" x14ac:dyDescent="0.35">
      <c r="A41" s="1" t="s">
        <v>352</v>
      </c>
      <c r="B41" s="1" t="s">
        <v>405</v>
      </c>
      <c r="C41" s="1" t="s">
        <v>395</v>
      </c>
      <c r="D41" s="80" t="s">
        <v>378</v>
      </c>
    </row>
    <row r="42" spans="1:4" x14ac:dyDescent="0.35">
      <c r="A42" s="1" t="s">
        <v>352</v>
      </c>
      <c r="B42" s="1" t="s">
        <v>406</v>
      </c>
      <c r="C42" s="1" t="s">
        <v>395</v>
      </c>
      <c r="D42" s="80" t="s">
        <v>378</v>
      </c>
    </row>
    <row r="43" spans="1:4" x14ac:dyDescent="0.35">
      <c r="A43" s="1" t="s">
        <v>352</v>
      </c>
      <c r="B43" s="1" t="s">
        <v>407</v>
      </c>
      <c r="C43" s="1" t="s">
        <v>395</v>
      </c>
      <c r="D43" s="80" t="s">
        <v>378</v>
      </c>
    </row>
    <row r="44" spans="1:4" x14ac:dyDescent="0.35">
      <c r="A44" s="1" t="s">
        <v>352</v>
      </c>
      <c r="B44" s="1" t="s">
        <v>408</v>
      </c>
      <c r="C44" s="1" t="s">
        <v>395</v>
      </c>
      <c r="D44" s="80" t="s">
        <v>378</v>
      </c>
    </row>
    <row r="45" spans="1:4" x14ac:dyDescent="0.35">
      <c r="A45" s="1" t="s">
        <v>352</v>
      </c>
      <c r="B45" s="1" t="s">
        <v>414</v>
      </c>
      <c r="C45" s="1" t="s">
        <v>395</v>
      </c>
      <c r="D45" s="80" t="s">
        <v>378</v>
      </c>
    </row>
    <row r="46" spans="1:4" x14ac:dyDescent="0.35">
      <c r="A46" s="1" t="s">
        <v>352</v>
      </c>
      <c r="B46" s="1" t="s">
        <v>409</v>
      </c>
      <c r="C46" s="1" t="s">
        <v>395</v>
      </c>
      <c r="D46" s="80" t="s">
        <v>378</v>
      </c>
    </row>
    <row r="47" spans="1:4" x14ac:dyDescent="0.35">
      <c r="A47" s="1" t="s">
        <v>352</v>
      </c>
      <c r="B47" s="1" t="s">
        <v>410</v>
      </c>
      <c r="C47" s="1" t="s">
        <v>395</v>
      </c>
      <c r="D47" s="80" t="s">
        <v>378</v>
      </c>
    </row>
    <row r="48" spans="1:4" x14ac:dyDescent="0.35">
      <c r="A48" s="1" t="s">
        <v>352</v>
      </c>
      <c r="B48" s="1" t="s">
        <v>412</v>
      </c>
      <c r="C48" s="1" t="s">
        <v>395</v>
      </c>
      <c r="D48" s="80" t="s">
        <v>378</v>
      </c>
    </row>
    <row r="49" spans="1:4" x14ac:dyDescent="0.35">
      <c r="A49" s="1" t="s">
        <v>415</v>
      </c>
      <c r="B49" s="1" t="s">
        <v>402</v>
      </c>
      <c r="C49" s="1" t="s">
        <v>395</v>
      </c>
      <c r="D49" s="80" t="s">
        <v>378</v>
      </c>
    </row>
    <row r="50" spans="1:4" x14ac:dyDescent="0.35">
      <c r="A50" s="1" t="s">
        <v>415</v>
      </c>
      <c r="B50" s="1" t="s">
        <v>403</v>
      </c>
      <c r="C50" s="1" t="s">
        <v>395</v>
      </c>
      <c r="D50" s="80" t="s">
        <v>378</v>
      </c>
    </row>
    <row r="51" spans="1:4" x14ac:dyDescent="0.35">
      <c r="A51" s="1" t="s">
        <v>415</v>
      </c>
      <c r="B51" s="1" t="s">
        <v>404</v>
      </c>
      <c r="C51" s="1" t="s">
        <v>395</v>
      </c>
      <c r="D51" s="80" t="s">
        <v>378</v>
      </c>
    </row>
    <row r="52" spans="1:4" x14ac:dyDescent="0.35">
      <c r="A52" s="1" t="s">
        <v>415</v>
      </c>
      <c r="B52" s="1" t="s">
        <v>405</v>
      </c>
      <c r="C52" s="1" t="s">
        <v>395</v>
      </c>
      <c r="D52" s="80" t="s">
        <v>378</v>
      </c>
    </row>
    <row r="53" spans="1:4" x14ac:dyDescent="0.35">
      <c r="A53" s="1" t="s">
        <v>415</v>
      </c>
      <c r="B53" s="1" t="s">
        <v>406</v>
      </c>
      <c r="C53" s="1" t="s">
        <v>395</v>
      </c>
      <c r="D53" s="80" t="s">
        <v>378</v>
      </c>
    </row>
    <row r="54" spans="1:4" x14ac:dyDescent="0.35">
      <c r="A54" s="1" t="s">
        <v>415</v>
      </c>
      <c r="B54" s="1" t="s">
        <v>407</v>
      </c>
      <c r="C54" s="1" t="s">
        <v>395</v>
      </c>
      <c r="D54" s="80" t="s">
        <v>378</v>
      </c>
    </row>
    <row r="55" spans="1:4" x14ac:dyDescent="0.35">
      <c r="A55" s="1" t="s">
        <v>415</v>
      </c>
      <c r="B55" s="1" t="s">
        <v>408</v>
      </c>
      <c r="C55" s="1" t="s">
        <v>395</v>
      </c>
      <c r="D55" s="80" t="s">
        <v>378</v>
      </c>
    </row>
    <row r="56" spans="1:4" x14ac:dyDescent="0.35">
      <c r="A56" s="1" t="s">
        <v>415</v>
      </c>
      <c r="B56" s="1" t="s">
        <v>414</v>
      </c>
      <c r="C56" s="1" t="s">
        <v>395</v>
      </c>
      <c r="D56" s="80" t="s">
        <v>378</v>
      </c>
    </row>
    <row r="57" spans="1:4" x14ac:dyDescent="0.35">
      <c r="A57" s="1" t="s">
        <v>415</v>
      </c>
      <c r="B57" s="1" t="s">
        <v>409</v>
      </c>
      <c r="C57" s="1" t="s">
        <v>395</v>
      </c>
      <c r="D57" s="80" t="s">
        <v>378</v>
      </c>
    </row>
    <row r="58" spans="1:4" x14ac:dyDescent="0.35">
      <c r="A58" s="1" t="s">
        <v>415</v>
      </c>
      <c r="B58" s="1" t="s">
        <v>410</v>
      </c>
      <c r="C58" s="1" t="s">
        <v>395</v>
      </c>
      <c r="D58" s="80" t="s">
        <v>378</v>
      </c>
    </row>
    <row r="59" spans="1:4" x14ac:dyDescent="0.35">
      <c r="A59" s="1" t="s">
        <v>415</v>
      </c>
      <c r="B59" s="1" t="s">
        <v>412</v>
      </c>
      <c r="C59" s="1" t="s">
        <v>395</v>
      </c>
      <c r="D59" s="80" t="s">
        <v>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FB18-A24C-4E40-AD83-61C23BDF9974}">
  <dimension ref="A1:F1"/>
  <sheetViews>
    <sheetView workbookViewId="0">
      <selection activeCell="F1" sqref="F1"/>
    </sheetView>
  </sheetViews>
  <sheetFormatPr defaultRowHeight="14.5" x14ac:dyDescent="0.35"/>
  <cols>
    <col min="1" max="2" width="9.36328125" bestFit="1" customWidth="1"/>
  </cols>
  <sheetData>
    <row r="1" spans="1:6" x14ac:dyDescent="0.35">
      <c r="A1" s="72">
        <v>46009</v>
      </c>
      <c r="B1" s="72">
        <v>46000</v>
      </c>
      <c r="C1">
        <f>A1-B1</f>
        <v>9</v>
      </c>
      <c r="D1">
        <v>70</v>
      </c>
      <c r="E1" s="10">
        <f>1-ABS(C1)/D1</f>
        <v>0.87142857142857144</v>
      </c>
      <c r="F1">
        <f>1-ABS(A1-B1)/3</f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E1E3-B4BF-4D55-A221-ECAF8381A408}">
  <dimension ref="A1:B132"/>
  <sheetViews>
    <sheetView topLeftCell="A19" workbookViewId="0">
      <selection activeCell="A33" sqref="A33"/>
    </sheetView>
  </sheetViews>
  <sheetFormatPr defaultRowHeight="14.5" x14ac:dyDescent="0.35"/>
  <cols>
    <col min="1" max="1" width="33.36328125" bestFit="1" customWidth="1"/>
    <col min="2" max="2" width="18.453125" bestFit="1" customWidth="1"/>
  </cols>
  <sheetData>
    <row r="1" spans="1:2" x14ac:dyDescent="0.35">
      <c r="A1" s="11" t="s">
        <v>117</v>
      </c>
      <c r="B1" s="11" t="s">
        <v>118</v>
      </c>
    </row>
    <row r="2" spans="1:2" x14ac:dyDescent="0.35">
      <c r="A2" s="12" t="s">
        <v>119</v>
      </c>
      <c r="B2" s="13">
        <v>60</v>
      </c>
    </row>
    <row r="3" spans="1:2" x14ac:dyDescent="0.35">
      <c r="A3" s="12" t="s">
        <v>113</v>
      </c>
      <c r="B3" s="13">
        <v>65</v>
      </c>
    </row>
    <row r="4" spans="1:2" x14ac:dyDescent="0.35">
      <c r="A4" s="12" t="s">
        <v>120</v>
      </c>
      <c r="B4" s="13">
        <v>60</v>
      </c>
    </row>
    <row r="5" spans="1:2" x14ac:dyDescent="0.35">
      <c r="A5" s="12" t="s">
        <v>121</v>
      </c>
      <c r="B5" s="13">
        <v>60</v>
      </c>
    </row>
    <row r="6" spans="1:2" x14ac:dyDescent="0.35">
      <c r="A6" s="12" t="s">
        <v>326</v>
      </c>
      <c r="B6" s="13">
        <v>60</v>
      </c>
    </row>
    <row r="7" spans="1:2" x14ac:dyDescent="0.35">
      <c r="A7" s="12" t="s">
        <v>122</v>
      </c>
      <c r="B7" s="13">
        <v>0</v>
      </c>
    </row>
    <row r="8" spans="1:2" x14ac:dyDescent="0.35">
      <c r="A8" s="12" t="s">
        <v>123</v>
      </c>
      <c r="B8" s="13">
        <v>90</v>
      </c>
    </row>
    <row r="9" spans="1:2" x14ac:dyDescent="0.35">
      <c r="A9" s="12" t="s">
        <v>124</v>
      </c>
      <c r="B9" s="13">
        <v>60</v>
      </c>
    </row>
    <row r="10" spans="1:2" x14ac:dyDescent="0.35">
      <c r="A10" s="12" t="s">
        <v>125</v>
      </c>
      <c r="B10" s="13">
        <v>58</v>
      </c>
    </row>
    <row r="11" spans="1:2" x14ac:dyDescent="0.35">
      <c r="A11" s="12" t="s">
        <v>126</v>
      </c>
      <c r="B11" s="13">
        <v>0</v>
      </c>
    </row>
    <row r="12" spans="1:2" x14ac:dyDescent="0.35">
      <c r="A12" s="12" t="s">
        <v>127</v>
      </c>
      <c r="B12" s="13">
        <v>85</v>
      </c>
    </row>
    <row r="13" spans="1:2" x14ac:dyDescent="0.35">
      <c r="A13" s="12" t="s">
        <v>128</v>
      </c>
      <c r="B13" s="13">
        <v>0</v>
      </c>
    </row>
    <row r="14" spans="1:2" x14ac:dyDescent="0.35">
      <c r="A14" s="12" t="s">
        <v>129</v>
      </c>
      <c r="B14" s="13">
        <v>0</v>
      </c>
    </row>
    <row r="15" spans="1:2" x14ac:dyDescent="0.35">
      <c r="A15" s="12" t="s">
        <v>130</v>
      </c>
      <c r="B15" s="13">
        <v>45</v>
      </c>
    </row>
    <row r="16" spans="1:2" x14ac:dyDescent="0.35">
      <c r="A16" s="12" t="s">
        <v>131</v>
      </c>
      <c r="B16" s="13">
        <v>45</v>
      </c>
    </row>
    <row r="17" spans="1:2" x14ac:dyDescent="0.35">
      <c r="A17" s="14" t="s">
        <v>132</v>
      </c>
      <c r="B17" s="13">
        <v>120</v>
      </c>
    </row>
    <row r="18" spans="1:2" x14ac:dyDescent="0.35">
      <c r="A18" s="12" t="s">
        <v>133</v>
      </c>
      <c r="B18" s="13">
        <v>64</v>
      </c>
    </row>
    <row r="19" spans="1:2" x14ac:dyDescent="0.35">
      <c r="A19" s="12" t="s">
        <v>134</v>
      </c>
      <c r="B19" s="13">
        <v>60</v>
      </c>
    </row>
    <row r="20" spans="1:2" x14ac:dyDescent="0.35">
      <c r="A20" s="14" t="s">
        <v>135</v>
      </c>
      <c r="B20" s="13">
        <v>60</v>
      </c>
    </row>
    <row r="21" spans="1:2" x14ac:dyDescent="0.35">
      <c r="A21" s="12" t="s">
        <v>136</v>
      </c>
      <c r="B21" s="13">
        <v>66</v>
      </c>
    </row>
    <row r="22" spans="1:2" x14ac:dyDescent="0.35">
      <c r="A22" s="12" t="s">
        <v>137</v>
      </c>
      <c r="B22" s="13">
        <v>45</v>
      </c>
    </row>
    <row r="23" spans="1:2" x14ac:dyDescent="0.35">
      <c r="A23" s="12" t="s">
        <v>138</v>
      </c>
      <c r="B23" s="13">
        <v>60</v>
      </c>
    </row>
    <row r="24" spans="1:2" x14ac:dyDescent="0.35">
      <c r="A24" s="12" t="s">
        <v>139</v>
      </c>
      <c r="B24" s="13">
        <v>0</v>
      </c>
    </row>
    <row r="25" spans="1:2" x14ac:dyDescent="0.35">
      <c r="A25" s="12" t="s">
        <v>140</v>
      </c>
      <c r="B25" s="13">
        <v>70</v>
      </c>
    </row>
    <row r="26" spans="1:2" x14ac:dyDescent="0.35">
      <c r="A26" s="12" t="s">
        <v>141</v>
      </c>
      <c r="B26" s="13">
        <v>90</v>
      </c>
    </row>
    <row r="27" spans="1:2" x14ac:dyDescent="0.35">
      <c r="A27" s="12" t="s">
        <v>142</v>
      </c>
      <c r="B27" s="13">
        <v>25</v>
      </c>
    </row>
    <row r="28" spans="1:2" x14ac:dyDescent="0.35">
      <c r="A28" s="12" t="s">
        <v>143</v>
      </c>
      <c r="B28" s="13">
        <v>60</v>
      </c>
    </row>
    <row r="29" spans="1:2" x14ac:dyDescent="0.35">
      <c r="A29" s="12" t="s">
        <v>144</v>
      </c>
      <c r="B29" s="13">
        <v>60</v>
      </c>
    </row>
    <row r="30" spans="1:2" x14ac:dyDescent="0.35">
      <c r="A30" s="12" t="s">
        <v>145</v>
      </c>
      <c r="B30" s="13">
        <v>40</v>
      </c>
    </row>
    <row r="31" spans="1:2" x14ac:dyDescent="0.35">
      <c r="A31" s="12" t="s">
        <v>146</v>
      </c>
      <c r="B31" s="13">
        <v>60</v>
      </c>
    </row>
    <row r="32" spans="1:2" x14ac:dyDescent="0.35">
      <c r="A32" s="12" t="s">
        <v>147</v>
      </c>
      <c r="B32" s="13">
        <v>60</v>
      </c>
    </row>
    <row r="33" spans="1:2" x14ac:dyDescent="0.35">
      <c r="A33" s="12" t="s">
        <v>107</v>
      </c>
      <c r="B33" s="13">
        <v>70</v>
      </c>
    </row>
    <row r="34" spans="1:2" x14ac:dyDescent="0.35">
      <c r="A34" s="12" t="s">
        <v>148</v>
      </c>
      <c r="B34" s="13">
        <v>60</v>
      </c>
    </row>
    <row r="35" spans="1:2" x14ac:dyDescent="0.35">
      <c r="A35" s="12" t="s">
        <v>149</v>
      </c>
      <c r="B35" s="13">
        <v>80</v>
      </c>
    </row>
    <row r="36" spans="1:2" x14ac:dyDescent="0.35">
      <c r="A36" s="12" t="s">
        <v>150</v>
      </c>
      <c r="B36" s="13">
        <v>60</v>
      </c>
    </row>
    <row r="37" spans="1:2" x14ac:dyDescent="0.35">
      <c r="A37" s="12" t="s">
        <v>151</v>
      </c>
      <c r="B37" s="13">
        <v>60</v>
      </c>
    </row>
    <row r="38" spans="1:2" x14ac:dyDescent="0.35">
      <c r="A38" s="12" t="s">
        <v>152</v>
      </c>
      <c r="B38" s="13">
        <v>0</v>
      </c>
    </row>
    <row r="39" spans="1:2" x14ac:dyDescent="0.35">
      <c r="A39" s="12" t="s">
        <v>153</v>
      </c>
      <c r="B39" s="13">
        <v>0</v>
      </c>
    </row>
    <row r="40" spans="1:2" x14ac:dyDescent="0.35">
      <c r="A40" s="12" t="s">
        <v>154</v>
      </c>
      <c r="B40" s="13">
        <v>85</v>
      </c>
    </row>
    <row r="41" spans="1:2" x14ac:dyDescent="0.35">
      <c r="A41" s="12" t="s">
        <v>155</v>
      </c>
      <c r="B41" s="13">
        <v>60</v>
      </c>
    </row>
    <row r="42" spans="1:2" x14ac:dyDescent="0.35">
      <c r="A42" s="12" t="s">
        <v>156</v>
      </c>
      <c r="B42" s="13">
        <v>60</v>
      </c>
    </row>
    <row r="43" spans="1:2" x14ac:dyDescent="0.35">
      <c r="A43" s="12" t="s">
        <v>157</v>
      </c>
      <c r="B43" s="13">
        <v>0</v>
      </c>
    </row>
    <row r="44" spans="1:2" x14ac:dyDescent="0.35">
      <c r="A44" s="12" t="s">
        <v>158</v>
      </c>
      <c r="B44" s="13">
        <v>89</v>
      </c>
    </row>
    <row r="45" spans="1:2" x14ac:dyDescent="0.35">
      <c r="A45" s="15" t="s">
        <v>159</v>
      </c>
      <c r="B45" s="13">
        <v>0</v>
      </c>
    </row>
    <row r="46" spans="1:2" x14ac:dyDescent="0.35">
      <c r="A46" s="12" t="s">
        <v>160</v>
      </c>
      <c r="B46" s="13">
        <v>0</v>
      </c>
    </row>
    <row r="47" spans="1:2" x14ac:dyDescent="0.35">
      <c r="A47" s="12" t="s">
        <v>161</v>
      </c>
      <c r="B47" s="13">
        <v>92</v>
      </c>
    </row>
    <row r="48" spans="1:2" x14ac:dyDescent="0.35">
      <c r="A48" s="12" t="s">
        <v>162</v>
      </c>
      <c r="B48" s="13">
        <v>60</v>
      </c>
    </row>
    <row r="49" spans="1:2" x14ac:dyDescent="0.35">
      <c r="A49" s="12" t="s">
        <v>163</v>
      </c>
      <c r="B49" s="13">
        <v>70</v>
      </c>
    </row>
    <row r="50" spans="1:2" x14ac:dyDescent="0.35">
      <c r="A50" s="12" t="s">
        <v>164</v>
      </c>
      <c r="B50" s="13">
        <v>85</v>
      </c>
    </row>
    <row r="51" spans="1:2" x14ac:dyDescent="0.35">
      <c r="A51" s="12" t="s">
        <v>165</v>
      </c>
      <c r="B51" s="13">
        <v>0</v>
      </c>
    </row>
    <row r="52" spans="1:2" x14ac:dyDescent="0.35">
      <c r="A52" s="12" t="s">
        <v>166</v>
      </c>
      <c r="B52" s="13">
        <v>97</v>
      </c>
    </row>
    <row r="53" spans="1:2" x14ac:dyDescent="0.35">
      <c r="A53" s="12" t="s">
        <v>167</v>
      </c>
      <c r="B53" s="13">
        <v>98</v>
      </c>
    </row>
    <row r="54" spans="1:2" x14ac:dyDescent="0.35">
      <c r="A54" s="12" t="s">
        <v>168</v>
      </c>
      <c r="B54" s="13">
        <v>90</v>
      </c>
    </row>
    <row r="55" spans="1:2" x14ac:dyDescent="0.35">
      <c r="A55" s="12" t="s">
        <v>169</v>
      </c>
      <c r="B55" s="13">
        <v>100</v>
      </c>
    </row>
    <row r="56" spans="1:2" x14ac:dyDescent="0.35">
      <c r="A56" s="12" t="s">
        <v>170</v>
      </c>
      <c r="B56" s="13">
        <v>30</v>
      </c>
    </row>
    <row r="57" spans="1:2" x14ac:dyDescent="0.35">
      <c r="A57" s="12" t="s">
        <v>171</v>
      </c>
      <c r="B57" s="13">
        <v>60</v>
      </c>
    </row>
    <row r="58" spans="1:2" x14ac:dyDescent="0.35">
      <c r="A58" s="12" t="s">
        <v>172</v>
      </c>
      <c r="B58" s="13">
        <v>103</v>
      </c>
    </row>
    <row r="59" spans="1:2" x14ac:dyDescent="0.35">
      <c r="A59" s="12" t="s">
        <v>173</v>
      </c>
      <c r="B59" s="13">
        <v>60</v>
      </c>
    </row>
    <row r="60" spans="1:2" x14ac:dyDescent="0.35">
      <c r="A60" s="12" t="s">
        <v>174</v>
      </c>
      <c r="B60" s="13">
        <v>105</v>
      </c>
    </row>
    <row r="61" spans="1:2" x14ac:dyDescent="0.35">
      <c r="A61" s="12" t="s">
        <v>175</v>
      </c>
      <c r="B61" s="13">
        <v>60</v>
      </c>
    </row>
    <row r="62" spans="1:2" x14ac:dyDescent="0.35">
      <c r="A62" s="12" t="s">
        <v>176</v>
      </c>
      <c r="B62" s="13">
        <v>60</v>
      </c>
    </row>
    <row r="63" spans="1:2" x14ac:dyDescent="0.35">
      <c r="A63" s="12" t="s">
        <v>177</v>
      </c>
      <c r="B63" s="13">
        <v>42</v>
      </c>
    </row>
    <row r="64" spans="1:2" x14ac:dyDescent="0.35">
      <c r="A64" s="12" t="s">
        <v>178</v>
      </c>
      <c r="B64" s="13">
        <v>110</v>
      </c>
    </row>
    <row r="65" spans="1:2" x14ac:dyDescent="0.35">
      <c r="A65" s="12" t="s">
        <v>179</v>
      </c>
      <c r="B65" s="13">
        <v>60</v>
      </c>
    </row>
    <row r="66" spans="1:2" x14ac:dyDescent="0.35">
      <c r="A66" s="12" t="s">
        <v>331</v>
      </c>
      <c r="B66" s="13">
        <v>60</v>
      </c>
    </row>
    <row r="67" spans="1:2" x14ac:dyDescent="0.35">
      <c r="A67" s="12" t="s">
        <v>180</v>
      </c>
      <c r="B67" s="13">
        <v>113</v>
      </c>
    </row>
    <row r="68" spans="1:2" x14ac:dyDescent="0.35">
      <c r="A68" s="12" t="s">
        <v>181</v>
      </c>
      <c r="B68" s="13">
        <v>60</v>
      </c>
    </row>
    <row r="69" spans="1:2" x14ac:dyDescent="0.35">
      <c r="A69" s="12" t="s">
        <v>182</v>
      </c>
      <c r="B69" s="13">
        <v>0</v>
      </c>
    </row>
    <row r="70" spans="1:2" x14ac:dyDescent="0.35">
      <c r="A70" s="12" t="s">
        <v>183</v>
      </c>
      <c r="B70" s="13">
        <v>0</v>
      </c>
    </row>
    <row r="71" spans="1:2" x14ac:dyDescent="0.35">
      <c r="A71" s="16" t="s">
        <v>184</v>
      </c>
      <c r="B71" s="13">
        <v>90</v>
      </c>
    </row>
    <row r="72" spans="1:2" x14ac:dyDescent="0.35">
      <c r="A72" s="12" t="s">
        <v>185</v>
      </c>
      <c r="B72" s="13">
        <v>0</v>
      </c>
    </row>
    <row r="73" spans="1:2" x14ac:dyDescent="0.35">
      <c r="A73" s="12" t="s">
        <v>186</v>
      </c>
      <c r="B73" s="13">
        <v>118</v>
      </c>
    </row>
    <row r="74" spans="1:2" x14ac:dyDescent="0.35">
      <c r="A74" s="12" t="s">
        <v>187</v>
      </c>
      <c r="B74" s="13">
        <v>60</v>
      </c>
    </row>
    <row r="75" spans="1:2" x14ac:dyDescent="0.35">
      <c r="A75" s="12" t="s">
        <v>188</v>
      </c>
      <c r="B75" s="13">
        <v>120</v>
      </c>
    </row>
    <row r="76" spans="1:2" x14ac:dyDescent="0.35">
      <c r="A76" s="12" t="s">
        <v>189</v>
      </c>
      <c r="B76" s="13">
        <v>60</v>
      </c>
    </row>
    <row r="77" spans="1:2" x14ac:dyDescent="0.35">
      <c r="A77" s="12" t="s">
        <v>190</v>
      </c>
      <c r="B77" s="13">
        <v>120</v>
      </c>
    </row>
    <row r="78" spans="1:2" x14ac:dyDescent="0.35">
      <c r="A78" s="12" t="s">
        <v>191</v>
      </c>
      <c r="B78" s="13">
        <v>60</v>
      </c>
    </row>
    <row r="79" spans="1:2" x14ac:dyDescent="0.35">
      <c r="A79" s="16" t="s">
        <v>192</v>
      </c>
      <c r="B79" s="13">
        <v>60</v>
      </c>
    </row>
    <row r="80" spans="1:2" x14ac:dyDescent="0.35">
      <c r="A80" s="12" t="s">
        <v>193</v>
      </c>
      <c r="B80" s="13">
        <v>60</v>
      </c>
    </row>
    <row r="81" spans="1:2" x14ac:dyDescent="0.35">
      <c r="A81" s="12" t="s">
        <v>194</v>
      </c>
      <c r="B81" s="13">
        <v>50</v>
      </c>
    </row>
    <row r="82" spans="1:2" x14ac:dyDescent="0.35">
      <c r="A82" s="12" t="s">
        <v>195</v>
      </c>
      <c r="B82" s="13">
        <v>50</v>
      </c>
    </row>
    <row r="83" spans="1:2" x14ac:dyDescent="0.35">
      <c r="A83" s="12" t="s">
        <v>196</v>
      </c>
      <c r="B83" s="13">
        <v>50</v>
      </c>
    </row>
    <row r="84" spans="1:2" x14ac:dyDescent="0.35">
      <c r="A84" s="12" t="s">
        <v>197</v>
      </c>
      <c r="B84" s="13">
        <v>50</v>
      </c>
    </row>
    <row r="85" spans="1:2" x14ac:dyDescent="0.35">
      <c r="A85" s="12" t="s">
        <v>198</v>
      </c>
      <c r="B85" s="13">
        <v>50</v>
      </c>
    </row>
    <row r="86" spans="1:2" x14ac:dyDescent="0.35">
      <c r="A86" s="12" t="s">
        <v>199</v>
      </c>
      <c r="B86" s="13">
        <v>50</v>
      </c>
    </row>
    <row r="87" spans="1:2" x14ac:dyDescent="0.35">
      <c r="A87" s="12" t="s">
        <v>200</v>
      </c>
      <c r="B87" s="13">
        <v>50</v>
      </c>
    </row>
    <row r="88" spans="1:2" x14ac:dyDescent="0.35">
      <c r="A88" s="12" t="s">
        <v>201</v>
      </c>
      <c r="B88" s="13">
        <v>50</v>
      </c>
    </row>
    <row r="89" spans="1:2" x14ac:dyDescent="0.35">
      <c r="A89" s="17" t="s">
        <v>202</v>
      </c>
      <c r="B89" s="13">
        <v>50</v>
      </c>
    </row>
    <row r="90" spans="1:2" x14ac:dyDescent="0.35">
      <c r="A90" s="12" t="s">
        <v>203</v>
      </c>
      <c r="B90" s="13">
        <v>50</v>
      </c>
    </row>
    <row r="91" spans="1:2" x14ac:dyDescent="0.35">
      <c r="A91" s="17" t="s">
        <v>204</v>
      </c>
      <c r="B91" s="13">
        <v>50</v>
      </c>
    </row>
    <row r="92" spans="1:2" x14ac:dyDescent="0.35">
      <c r="A92" s="12" t="s">
        <v>205</v>
      </c>
      <c r="B92" s="13">
        <v>50</v>
      </c>
    </row>
    <row r="93" spans="1:2" x14ac:dyDescent="0.35">
      <c r="A93" s="12" t="s">
        <v>206</v>
      </c>
      <c r="B93" s="13">
        <v>50</v>
      </c>
    </row>
    <row r="94" spans="1:2" x14ac:dyDescent="0.35">
      <c r="A94" s="12" t="s">
        <v>207</v>
      </c>
      <c r="B94" s="13">
        <v>50</v>
      </c>
    </row>
    <row r="95" spans="1:2" x14ac:dyDescent="0.35">
      <c r="A95" s="12" t="s">
        <v>208</v>
      </c>
      <c r="B95" s="13">
        <v>50</v>
      </c>
    </row>
    <row r="96" spans="1:2" x14ac:dyDescent="0.35">
      <c r="A96" s="15" t="s">
        <v>209</v>
      </c>
      <c r="B96" s="13">
        <v>50</v>
      </c>
    </row>
    <row r="97" spans="1:2" x14ac:dyDescent="0.35">
      <c r="A97" s="12" t="s">
        <v>210</v>
      </c>
      <c r="B97" s="13">
        <v>50</v>
      </c>
    </row>
    <row r="98" spans="1:2" x14ac:dyDescent="0.35">
      <c r="A98" s="12" t="s">
        <v>211</v>
      </c>
      <c r="B98" s="13">
        <v>50</v>
      </c>
    </row>
    <row r="99" spans="1:2" x14ac:dyDescent="0.35">
      <c r="A99" s="12" t="s">
        <v>212</v>
      </c>
      <c r="B99" s="13">
        <v>50</v>
      </c>
    </row>
    <row r="100" spans="1:2" x14ac:dyDescent="0.35">
      <c r="A100" s="12" t="s">
        <v>213</v>
      </c>
      <c r="B100" s="13">
        <v>50</v>
      </c>
    </row>
    <row r="101" spans="1:2" x14ac:dyDescent="0.35">
      <c r="A101" s="12" t="s">
        <v>214</v>
      </c>
      <c r="B101" s="13">
        <v>50</v>
      </c>
    </row>
    <row r="102" spans="1:2" x14ac:dyDescent="0.35">
      <c r="A102" s="12" t="s">
        <v>215</v>
      </c>
      <c r="B102" s="13">
        <v>50</v>
      </c>
    </row>
    <row r="103" spans="1:2" x14ac:dyDescent="0.35">
      <c r="A103" s="12" t="s">
        <v>216</v>
      </c>
      <c r="B103" s="13">
        <v>0</v>
      </c>
    </row>
    <row r="104" spans="1:2" x14ac:dyDescent="0.35">
      <c r="A104" s="12" t="s">
        <v>217</v>
      </c>
      <c r="B104" s="13">
        <v>60</v>
      </c>
    </row>
    <row r="105" spans="1:2" x14ac:dyDescent="0.35">
      <c r="A105" s="13" t="s">
        <v>114</v>
      </c>
      <c r="B105" s="13">
        <v>0</v>
      </c>
    </row>
    <row r="106" spans="1:2" x14ac:dyDescent="0.35">
      <c r="A106" s="12" t="s">
        <v>116</v>
      </c>
      <c r="B106" s="13">
        <v>0</v>
      </c>
    </row>
    <row r="107" spans="1:2" x14ac:dyDescent="0.35">
      <c r="A107" s="12" t="s">
        <v>218</v>
      </c>
      <c r="B107" s="13">
        <v>0</v>
      </c>
    </row>
    <row r="108" spans="1:2" x14ac:dyDescent="0.35">
      <c r="A108" s="12" t="s">
        <v>219</v>
      </c>
      <c r="B108" s="13">
        <v>0</v>
      </c>
    </row>
    <row r="109" spans="1:2" x14ac:dyDescent="0.35">
      <c r="A109" s="12" t="s">
        <v>220</v>
      </c>
      <c r="B109" s="13">
        <v>0</v>
      </c>
    </row>
    <row r="110" spans="1:2" x14ac:dyDescent="0.35">
      <c r="A110" s="12" t="s">
        <v>221</v>
      </c>
      <c r="B110" s="13">
        <v>0</v>
      </c>
    </row>
    <row r="111" spans="1:2" x14ac:dyDescent="0.35">
      <c r="A111" s="12" t="s">
        <v>222</v>
      </c>
      <c r="B111" s="13">
        <v>0</v>
      </c>
    </row>
    <row r="112" spans="1:2" x14ac:dyDescent="0.35">
      <c r="A112" s="12" t="s">
        <v>223</v>
      </c>
      <c r="B112" s="13">
        <v>0</v>
      </c>
    </row>
    <row r="113" spans="1:2" x14ac:dyDescent="0.35">
      <c r="A113" s="12" t="s">
        <v>224</v>
      </c>
      <c r="B113" s="13">
        <v>60</v>
      </c>
    </row>
    <row r="114" spans="1:2" x14ac:dyDescent="0.35">
      <c r="A114" s="14" t="s">
        <v>225</v>
      </c>
      <c r="B114" s="13">
        <v>60</v>
      </c>
    </row>
    <row r="115" spans="1:2" x14ac:dyDescent="0.35">
      <c r="A115" s="14" t="s">
        <v>226</v>
      </c>
      <c r="B115" s="13">
        <v>60</v>
      </c>
    </row>
    <row r="116" spans="1:2" x14ac:dyDescent="0.35">
      <c r="A116" s="14" t="s">
        <v>227</v>
      </c>
      <c r="B116" s="13">
        <v>0</v>
      </c>
    </row>
    <row r="117" spans="1:2" x14ac:dyDescent="0.35">
      <c r="A117" s="14" t="s">
        <v>228</v>
      </c>
      <c r="B117" s="13">
        <v>60</v>
      </c>
    </row>
    <row r="118" spans="1:2" x14ac:dyDescent="0.35">
      <c r="A118" s="14" t="s">
        <v>229</v>
      </c>
      <c r="B118" s="13">
        <v>45</v>
      </c>
    </row>
    <row r="119" spans="1:2" x14ac:dyDescent="0.35">
      <c r="A119" s="14" t="s">
        <v>230</v>
      </c>
      <c r="B119" s="13">
        <v>0</v>
      </c>
    </row>
    <row r="120" spans="1:2" x14ac:dyDescent="0.35">
      <c r="A120" s="14" t="s">
        <v>130</v>
      </c>
      <c r="B120" s="18">
        <v>45</v>
      </c>
    </row>
    <row r="121" spans="1:2" x14ac:dyDescent="0.35">
      <c r="A121" s="14" t="s">
        <v>131</v>
      </c>
      <c r="B121" s="18">
        <v>45</v>
      </c>
    </row>
    <row r="122" spans="1:2" x14ac:dyDescent="0.35">
      <c r="A122" s="12" t="s">
        <v>231</v>
      </c>
      <c r="B122" s="18">
        <v>60</v>
      </c>
    </row>
    <row r="123" spans="1:2" x14ac:dyDescent="0.35">
      <c r="A123" s="12" t="s">
        <v>232</v>
      </c>
      <c r="B123" s="18">
        <v>60</v>
      </c>
    </row>
    <row r="124" spans="1:2" x14ac:dyDescent="0.35">
      <c r="A124" s="14" t="s">
        <v>233</v>
      </c>
      <c r="B124" s="18">
        <v>45</v>
      </c>
    </row>
    <row r="125" spans="1:2" x14ac:dyDescent="0.35">
      <c r="A125" s="12" t="s">
        <v>234</v>
      </c>
      <c r="B125" s="18">
        <v>60</v>
      </c>
    </row>
    <row r="126" spans="1:2" x14ac:dyDescent="0.35">
      <c r="A126" s="12" t="s">
        <v>235</v>
      </c>
      <c r="B126" s="18">
        <v>60</v>
      </c>
    </row>
    <row r="127" spans="1:2" x14ac:dyDescent="0.35">
      <c r="A127" s="12" t="s">
        <v>236</v>
      </c>
      <c r="B127" s="18">
        <v>60</v>
      </c>
    </row>
    <row r="128" spans="1:2" x14ac:dyDescent="0.35">
      <c r="A128" s="12" t="s">
        <v>237</v>
      </c>
      <c r="B128" s="18">
        <v>60</v>
      </c>
    </row>
    <row r="129" spans="1:2" x14ac:dyDescent="0.35">
      <c r="A129" s="12" t="s">
        <v>238</v>
      </c>
      <c r="B129" s="18">
        <v>60</v>
      </c>
    </row>
    <row r="130" spans="1:2" x14ac:dyDescent="0.35">
      <c r="A130" s="19" t="s">
        <v>239</v>
      </c>
      <c r="B130" s="18">
        <v>60</v>
      </c>
    </row>
    <row r="131" spans="1:2" x14ac:dyDescent="0.35">
      <c r="A131" s="12"/>
      <c r="B131" s="18"/>
    </row>
    <row r="132" spans="1:2" x14ac:dyDescent="0.35">
      <c r="A132" s="12"/>
      <c r="B132" s="1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40E8-C03C-4DDC-8FF8-0C0B05DEE04E}">
  <dimension ref="A1:C43"/>
  <sheetViews>
    <sheetView workbookViewId="0">
      <selection activeCell="E12" sqref="E12"/>
    </sheetView>
  </sheetViews>
  <sheetFormatPr defaultRowHeight="14.5" x14ac:dyDescent="0.35"/>
  <cols>
    <col min="1" max="1" width="5.1796875" bestFit="1" customWidth="1"/>
    <col min="2" max="2" width="20.26953125" bestFit="1" customWidth="1"/>
    <col min="3" max="3" width="21.26953125" bestFit="1" customWidth="1"/>
  </cols>
  <sheetData>
    <row r="1" spans="1:3" x14ac:dyDescent="0.35">
      <c r="A1" s="20" t="s">
        <v>240</v>
      </c>
      <c r="B1" s="20" t="s">
        <v>241</v>
      </c>
      <c r="C1" s="20" t="s">
        <v>242</v>
      </c>
    </row>
    <row r="2" spans="1:3" x14ac:dyDescent="0.35">
      <c r="A2" s="1" t="s">
        <v>243</v>
      </c>
      <c r="B2" s="1" t="s">
        <v>244</v>
      </c>
      <c r="C2" s="21">
        <v>47.5</v>
      </c>
    </row>
    <row r="3" spans="1:3" x14ac:dyDescent="0.35">
      <c r="A3" s="1" t="s">
        <v>245</v>
      </c>
      <c r="B3" s="1" t="s">
        <v>246</v>
      </c>
      <c r="C3" s="21">
        <v>35</v>
      </c>
    </row>
    <row r="4" spans="1:3" x14ac:dyDescent="0.35">
      <c r="A4" s="1" t="s">
        <v>247</v>
      </c>
      <c r="B4" s="1" t="s">
        <v>248</v>
      </c>
      <c r="C4" s="21">
        <v>32.692307692307693</v>
      </c>
    </row>
    <row r="5" spans="1:3" x14ac:dyDescent="0.35">
      <c r="A5" s="1" t="s">
        <v>249</v>
      </c>
      <c r="B5" s="1" t="s">
        <v>250</v>
      </c>
      <c r="C5" s="21">
        <v>45</v>
      </c>
    </row>
    <row r="6" spans="1:3" x14ac:dyDescent="0.35">
      <c r="A6" s="1" t="s">
        <v>251</v>
      </c>
      <c r="B6" s="1" t="s">
        <v>252</v>
      </c>
      <c r="C6" s="21">
        <v>25</v>
      </c>
    </row>
    <row r="7" spans="1:3" x14ac:dyDescent="0.35">
      <c r="A7" s="1" t="s">
        <v>253</v>
      </c>
      <c r="B7" s="1" t="s">
        <v>254</v>
      </c>
      <c r="C7" s="21">
        <v>45</v>
      </c>
    </row>
    <row r="8" spans="1:3" x14ac:dyDescent="0.35">
      <c r="A8" s="1" t="s">
        <v>255</v>
      </c>
      <c r="B8" s="1" t="s">
        <v>256</v>
      </c>
      <c r="C8" s="21">
        <v>25</v>
      </c>
    </row>
    <row r="9" spans="1:3" x14ac:dyDescent="0.35">
      <c r="A9" s="1" t="s">
        <v>257</v>
      </c>
      <c r="B9" s="1" t="s">
        <v>258</v>
      </c>
      <c r="C9" s="21">
        <v>19</v>
      </c>
    </row>
    <row r="10" spans="1:3" x14ac:dyDescent="0.35">
      <c r="A10" s="1" t="s">
        <v>259</v>
      </c>
      <c r="B10" s="1" t="s">
        <v>260</v>
      </c>
      <c r="C10" s="21">
        <v>20</v>
      </c>
    </row>
    <row r="11" spans="1:3" x14ac:dyDescent="0.35">
      <c r="A11" s="1" t="s">
        <v>261</v>
      </c>
      <c r="B11" s="1" t="s">
        <v>262</v>
      </c>
      <c r="C11" s="21">
        <v>45</v>
      </c>
    </row>
    <row r="12" spans="1:3" x14ac:dyDescent="0.35">
      <c r="A12" s="1" t="s">
        <v>263</v>
      </c>
      <c r="B12" s="1" t="s">
        <v>264</v>
      </c>
      <c r="C12" s="21">
        <v>38.75</v>
      </c>
    </row>
    <row r="13" spans="1:3" x14ac:dyDescent="0.35">
      <c r="A13" s="1" t="s">
        <v>265</v>
      </c>
      <c r="B13" s="1" t="s">
        <v>266</v>
      </c>
      <c r="C13" s="21">
        <v>38.333333333333336</v>
      </c>
    </row>
    <row r="14" spans="1:3" x14ac:dyDescent="0.35">
      <c r="A14" s="1" t="s">
        <v>267</v>
      </c>
      <c r="B14" s="1" t="s">
        <v>268</v>
      </c>
      <c r="C14" s="21">
        <v>22.5</v>
      </c>
    </row>
    <row r="15" spans="1:3" x14ac:dyDescent="0.35">
      <c r="A15" s="1" t="s">
        <v>269</v>
      </c>
      <c r="B15" s="1" t="s">
        <v>270</v>
      </c>
      <c r="C15" s="21">
        <v>25</v>
      </c>
    </row>
    <row r="16" spans="1:3" x14ac:dyDescent="0.35">
      <c r="A16" s="1" t="s">
        <v>271</v>
      </c>
      <c r="B16" s="1" t="s">
        <v>272</v>
      </c>
      <c r="C16" s="21">
        <v>65</v>
      </c>
    </row>
    <row r="17" spans="1:3" x14ac:dyDescent="0.35">
      <c r="A17" s="1" t="s">
        <v>273</v>
      </c>
      <c r="B17" s="1" t="s">
        <v>274</v>
      </c>
      <c r="C17" s="21">
        <v>30</v>
      </c>
    </row>
    <row r="18" spans="1:3" x14ac:dyDescent="0.35">
      <c r="A18" s="1" t="s">
        <v>115</v>
      </c>
      <c r="B18" s="1" t="s">
        <v>275</v>
      </c>
      <c r="C18" s="21">
        <v>35</v>
      </c>
    </row>
    <row r="19" spans="1:3" x14ac:dyDescent="0.35">
      <c r="A19" s="1" t="s">
        <v>259</v>
      </c>
      <c r="B19" s="1" t="s">
        <v>260</v>
      </c>
      <c r="C19" s="21">
        <v>30</v>
      </c>
    </row>
    <row r="20" spans="1:3" x14ac:dyDescent="0.35">
      <c r="A20" s="1" t="s">
        <v>276</v>
      </c>
      <c r="B20" s="1" t="s">
        <v>277</v>
      </c>
      <c r="C20" s="21">
        <v>30</v>
      </c>
    </row>
    <row r="21" spans="1:3" x14ac:dyDescent="0.35">
      <c r="A21" s="1" t="s">
        <v>278</v>
      </c>
      <c r="B21" s="1" t="s">
        <v>279</v>
      </c>
      <c r="C21" s="21">
        <v>30</v>
      </c>
    </row>
    <row r="22" spans="1:3" x14ac:dyDescent="0.35">
      <c r="A22" s="1" t="s">
        <v>280</v>
      </c>
      <c r="B22" s="1" t="s">
        <v>281</v>
      </c>
      <c r="C22" s="21">
        <v>30</v>
      </c>
    </row>
    <row r="23" spans="1:3" x14ac:dyDescent="0.35">
      <c r="A23" s="1" t="s">
        <v>282</v>
      </c>
      <c r="B23" s="1" t="s">
        <v>283</v>
      </c>
      <c r="C23" s="21">
        <v>45</v>
      </c>
    </row>
    <row r="24" spans="1:3" x14ac:dyDescent="0.35">
      <c r="A24" s="1" t="s">
        <v>284</v>
      </c>
      <c r="B24" s="1" t="s">
        <v>285</v>
      </c>
      <c r="C24" s="21">
        <v>35</v>
      </c>
    </row>
    <row r="25" spans="1:3" x14ac:dyDescent="0.35">
      <c r="A25" s="1" t="s">
        <v>286</v>
      </c>
      <c r="B25" s="1" t="s">
        <v>287</v>
      </c>
      <c r="C25" s="21">
        <v>55</v>
      </c>
    </row>
    <row r="26" spans="1:3" x14ac:dyDescent="0.35">
      <c r="A26" s="1" t="s">
        <v>288</v>
      </c>
      <c r="B26" s="1" t="s">
        <v>289</v>
      </c>
      <c r="C26" s="21">
        <v>50</v>
      </c>
    </row>
    <row r="27" spans="1:3" x14ac:dyDescent="0.35">
      <c r="A27" s="1" t="s">
        <v>290</v>
      </c>
      <c r="B27" s="1" t="s">
        <v>291</v>
      </c>
      <c r="C27" s="21">
        <v>45</v>
      </c>
    </row>
    <row r="28" spans="1:3" x14ac:dyDescent="0.35">
      <c r="A28" s="1" t="s">
        <v>292</v>
      </c>
      <c r="B28" s="1" t="s">
        <v>293</v>
      </c>
      <c r="C28" s="21">
        <v>35</v>
      </c>
    </row>
    <row r="29" spans="1:3" x14ac:dyDescent="0.35">
      <c r="A29" s="1" t="s">
        <v>294</v>
      </c>
      <c r="B29" s="1" t="s">
        <v>295</v>
      </c>
      <c r="C29" s="21">
        <v>35</v>
      </c>
    </row>
    <row r="30" spans="1:3" x14ac:dyDescent="0.35">
      <c r="A30" s="1" t="s">
        <v>296</v>
      </c>
      <c r="B30" s="1" t="s">
        <v>297</v>
      </c>
      <c r="C30" s="21">
        <v>40</v>
      </c>
    </row>
    <row r="31" spans="1:3" x14ac:dyDescent="0.35">
      <c r="A31" s="1" t="s">
        <v>298</v>
      </c>
      <c r="B31" s="1" t="s">
        <v>299</v>
      </c>
      <c r="C31" s="21">
        <v>35</v>
      </c>
    </row>
    <row r="32" spans="1:3" x14ac:dyDescent="0.35">
      <c r="A32" s="1" t="s">
        <v>300</v>
      </c>
      <c r="B32" s="1" t="s">
        <v>301</v>
      </c>
      <c r="C32" s="21">
        <v>20</v>
      </c>
    </row>
    <row r="33" spans="1:3" x14ac:dyDescent="0.35">
      <c r="A33" s="1" t="s">
        <v>302</v>
      </c>
      <c r="B33" s="1" t="s">
        <v>303</v>
      </c>
      <c r="C33" s="21">
        <v>35</v>
      </c>
    </row>
    <row r="34" spans="1:3" x14ac:dyDescent="0.35">
      <c r="A34" s="1" t="s">
        <v>115</v>
      </c>
      <c r="B34" s="1" t="s">
        <v>275</v>
      </c>
      <c r="C34" s="21">
        <v>45</v>
      </c>
    </row>
    <row r="35" spans="1:3" x14ac:dyDescent="0.35">
      <c r="A35" s="1" t="s">
        <v>304</v>
      </c>
      <c r="B35" s="1" t="s">
        <v>305</v>
      </c>
      <c r="C35" s="21">
        <v>35</v>
      </c>
    </row>
    <row r="36" spans="1:3" x14ac:dyDescent="0.35">
      <c r="A36" s="1" t="s">
        <v>306</v>
      </c>
      <c r="B36" s="1" t="s">
        <v>307</v>
      </c>
      <c r="C36" s="21">
        <v>30</v>
      </c>
    </row>
    <row r="37" spans="1:3" x14ac:dyDescent="0.35">
      <c r="A37" s="1" t="s">
        <v>308</v>
      </c>
      <c r="B37" s="1" t="s">
        <v>309</v>
      </c>
      <c r="C37" s="21">
        <v>15</v>
      </c>
    </row>
    <row r="38" spans="1:3" x14ac:dyDescent="0.35">
      <c r="A38" s="1" t="s">
        <v>310</v>
      </c>
      <c r="B38" s="1" t="s">
        <v>311</v>
      </c>
      <c r="C38" s="21">
        <v>25</v>
      </c>
    </row>
    <row r="39" spans="1:3" x14ac:dyDescent="0.35">
      <c r="A39" s="1" t="s">
        <v>312</v>
      </c>
      <c r="B39" s="1" t="s">
        <v>313</v>
      </c>
      <c r="C39" s="21">
        <v>26.666666666666668</v>
      </c>
    </row>
    <row r="40" spans="1:3" x14ac:dyDescent="0.35">
      <c r="A40" s="1" t="s">
        <v>314</v>
      </c>
      <c r="B40" s="1" t="s">
        <v>315</v>
      </c>
      <c r="C40" s="21">
        <v>25</v>
      </c>
    </row>
    <row r="41" spans="1:3" x14ac:dyDescent="0.35">
      <c r="A41" s="1" t="s">
        <v>316</v>
      </c>
      <c r="B41" s="1" t="s">
        <v>317</v>
      </c>
      <c r="C41" s="21">
        <v>40</v>
      </c>
    </row>
    <row r="42" spans="1:3" x14ac:dyDescent="0.35">
      <c r="A42" s="1" t="s">
        <v>318</v>
      </c>
      <c r="B42" s="1" t="s">
        <v>319</v>
      </c>
      <c r="C42" s="21">
        <v>56</v>
      </c>
    </row>
    <row r="43" spans="1:3" x14ac:dyDescent="0.35">
      <c r="A43" s="1" t="s">
        <v>320</v>
      </c>
      <c r="B43" s="1" t="s">
        <v>321</v>
      </c>
      <c r="C43" s="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Tracker</vt:lpstr>
      <vt:lpstr>ChargeServiceMapping-Origin</vt:lpstr>
      <vt:lpstr>ChargeServiceMapping-Destinatio</vt:lpstr>
      <vt:lpstr>ChargeServiceMapping-Freight</vt:lpstr>
      <vt:lpstr>ChargeServiceMapping-Ancillary</vt:lpstr>
      <vt:lpstr>Sheet1</vt:lpstr>
      <vt:lpstr>SupplierLeadTimeMaster</vt:lpstr>
      <vt:lpstr>CountryTransitTimeMaster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Jishajil Puthalath (ISS GHQ)</cp:lastModifiedBy>
  <dcterms:created xsi:type="dcterms:W3CDTF">2025-11-21T09:29:15Z</dcterms:created>
  <dcterms:modified xsi:type="dcterms:W3CDTF">2025-11-24T05:37:04Z</dcterms:modified>
</cp:coreProperties>
</file>