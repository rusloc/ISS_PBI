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361B2163-E708-4C06-80DF-0F306B36B6A0}" xr6:coauthVersionLast="47" xr6:coauthVersionMax="47" xr10:uidLastSave="{00000000-0000-0000-0000-000000000000}"/>
  <bookViews>
    <workbookView xWindow="-110" yWindow="-110" windowWidth="25420" windowHeight="16300" xr2:uid="{087D0E73-0BE1-4478-93AB-DEC2385CD5AE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Лист1!$A$1:$E$106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C90" i="1" a="1"/>
  <c r="C87" i="1" a="1"/>
  <c r="C87" i="1" s="1"/>
  <c r="C84" i="1"/>
  <c r="C8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<sst xmlns="http://schemas.openxmlformats.org/spreadsheetml/2006/main" count="190" uniqueCount="140">
  <si>
    <t>IFS Catering Stores</t>
  </si>
  <si>
    <t>GOLD AWIN LEOVIC GROUP LIMITED</t>
  </si>
  <si>
    <t>424004804-12</t>
  </si>
  <si>
    <t>424013388-6</t>
  </si>
  <si>
    <t>10093668 NOTE BOOK (HARDCOVER) 10093669 PEN (PREMIUM) | AIRPLANE STRESS BALL NEURODIVERSE PRODUCT</t>
  </si>
  <si>
    <t>EMA000134</t>
  </si>
  <si>
    <t>air_inbound</t>
  </si>
  <si>
    <t>direct</t>
  </si>
  <si>
    <t>FOB</t>
  </si>
  <si>
    <t>SHPDXBAI25000210</t>
  </si>
  <si>
    <t>176-15210926</t>
  </si>
  <si>
    <t>PEK</t>
  </si>
  <si>
    <t>BEIJING CAPITAL INTERNATIONAL AIRPORT</t>
  </si>
  <si>
    <t>CHINA</t>
  </si>
  <si>
    <t>ASIA</t>
  </si>
  <si>
    <t>DWC</t>
  </si>
  <si>
    <t/>
  </si>
  <si>
    <t>EK</t>
  </si>
  <si>
    <t>Ongoing</t>
  </si>
  <si>
    <t>GAC</t>
  </si>
  <si>
    <t>424004804-12 - 55000 | 424013388-6 - 50000</t>
  </si>
  <si>
    <t>0</t>
  </si>
  <si>
    <t>2712</t>
  </si>
  <si>
    <t>54</t>
  </si>
  <si>
    <t>PK</t>
  </si>
  <si>
    <t>No</t>
  </si>
  <si>
    <t>Pending</t>
  </si>
  <si>
    <t>SQL output (new values)</t>
  </si>
  <si>
    <t>Business Unit</t>
  </si>
  <si>
    <t>Supplier Name</t>
  </si>
  <si>
    <t>Primary PO#</t>
  </si>
  <si>
    <t>Secondary Po</t>
  </si>
  <si>
    <t>PO Remarks</t>
  </si>
  <si>
    <t>Commodity</t>
  </si>
  <si>
    <t>ISS Ref.</t>
  </si>
  <si>
    <t>Mode</t>
  </si>
  <si>
    <t>Routed By</t>
  </si>
  <si>
    <t>Incoterms FO</t>
  </si>
  <si>
    <t>ISS Job No</t>
  </si>
  <si>
    <t>HBL Hawb</t>
  </si>
  <si>
    <t>MBL MAWB</t>
  </si>
  <si>
    <t>Container No</t>
  </si>
  <si>
    <t>Origin Port</t>
  </si>
  <si>
    <t>Origin Port Name</t>
  </si>
  <si>
    <t>Origin Country</t>
  </si>
  <si>
    <t>Origin Region</t>
  </si>
  <si>
    <t>Destination Port Code</t>
  </si>
  <si>
    <t>Equipment Type</t>
  </si>
  <si>
    <t>20'</t>
  </si>
  <si>
    <t>40'</t>
  </si>
  <si>
    <t>Total No of Containers</t>
  </si>
  <si>
    <t>Total No of TEUs</t>
  </si>
  <si>
    <t>Carrier</t>
  </si>
  <si>
    <t>PR Appr. Date</t>
  </si>
  <si>
    <t>PO Appr. Date</t>
  </si>
  <si>
    <t>PO Creation Date</t>
  </si>
  <si>
    <t>PO Recd Date</t>
  </si>
  <si>
    <t>PO Need By Date</t>
  </si>
  <si>
    <t>Cargo Ready Date Actual</t>
  </si>
  <si>
    <t>Pickup Date</t>
  </si>
  <si>
    <t>Cargo H/O</t>
  </si>
  <si>
    <t>ETD</t>
  </si>
  <si>
    <t>Revised ETD</t>
  </si>
  <si>
    <t>ETA</t>
  </si>
  <si>
    <t>Revised ETA</t>
  </si>
  <si>
    <t>DO Exp.</t>
  </si>
  <si>
    <t>Delivery date</t>
  </si>
  <si>
    <t>Status</t>
  </si>
  <si>
    <t>Delivery Location</t>
  </si>
  <si>
    <t>Inner Qty</t>
  </si>
  <si>
    <t>CBM</t>
  </si>
  <si>
    <t>Gross Weight (KGs)</t>
  </si>
  <si>
    <t>Chargeable Weight (KGs)</t>
  </si>
  <si>
    <t>Total No of Packages</t>
  </si>
  <si>
    <t>Pack Type</t>
  </si>
  <si>
    <t>Customs Declared Value (AED)</t>
  </si>
  <si>
    <t>Ship. Remarks Updates</t>
  </si>
  <si>
    <t>Pre Alert Send Status</t>
  </si>
  <si>
    <t>Debit Note Status</t>
  </si>
  <si>
    <t>Ontime Order Placement Perf.</t>
  </si>
  <si>
    <t>Supplier comm. prod. readiness perf.</t>
  </si>
  <si>
    <t>ISS Cont. Booking Perf.</t>
  </si>
  <si>
    <t>ISS Trasit Lead Time Perf %</t>
  </si>
  <si>
    <t>ISS Customs Clearance Perf %</t>
  </si>
  <si>
    <t>E2E Total LT accuracy</t>
  </si>
  <si>
    <t>Days Total Comm. LT</t>
  </si>
  <si>
    <t>Actual lead (PO to Date)</t>
  </si>
  <si>
    <t>Health Check</t>
  </si>
  <si>
    <t>Reason code</t>
  </si>
  <si>
    <t>Days Order Placement LT</t>
  </si>
  <si>
    <t>Days Supplier Production LT</t>
  </si>
  <si>
    <t>Days Custom Clearance LT</t>
  </si>
  <si>
    <t>Days Iss Cont Booking LT</t>
  </si>
  <si>
    <t>Days Transit LT</t>
  </si>
  <si>
    <t>E2E Total LT</t>
  </si>
  <si>
    <t>Origin Charges USD</t>
  </si>
  <si>
    <t>Freight Charges USD</t>
  </si>
  <si>
    <t>Destination Charges USD</t>
  </si>
  <si>
    <t>Ancillary Charges AED</t>
  </si>
  <si>
    <t>Ancillary Charges Type</t>
  </si>
  <si>
    <t>Origin Charges AED</t>
  </si>
  <si>
    <t>Freight Charges AED</t>
  </si>
  <si>
    <t>Destination Charges AED</t>
  </si>
  <si>
    <t>P2P Value AED</t>
  </si>
  <si>
    <t>Total Charges AED</t>
  </si>
  <si>
    <t>Ship. Billing Remarks</t>
  </si>
  <si>
    <t>PR Number</t>
  </si>
  <si>
    <t>PR Date</t>
  </si>
  <si>
    <t>Req. Status</t>
  </si>
  <si>
    <t>SPO Number</t>
  </si>
  <si>
    <t>PO Status</t>
  </si>
  <si>
    <t>SPO Invoice Value AED</t>
  </si>
  <si>
    <t>Invoice No</t>
  </si>
  <si>
    <t>Billing Status</t>
  </si>
  <si>
    <t>Invoice Billing Month</t>
  </si>
  <si>
    <t>GRN No</t>
  </si>
  <si>
    <t>GRN Status</t>
  </si>
  <si>
    <t>Addl PO</t>
  </si>
  <si>
    <t>Addl Issued Invoices</t>
  </si>
  <si>
    <t>Addl PO GRN</t>
  </si>
  <si>
    <t>Addl Invoice Billing Month</t>
  </si>
  <si>
    <t>ETD Variance (Days)</t>
  </si>
  <si>
    <t>ETA Variance (Days)</t>
  </si>
  <si>
    <t>RDD-ETA</t>
  </si>
  <si>
    <t>Customs Declared Value (USD)</t>
  </si>
  <si>
    <t>NBD TO CRD</t>
  </si>
  <si>
    <t>PO TO CRD</t>
  </si>
  <si>
    <t>CRD TO ETD</t>
  </si>
  <si>
    <t>ETD TO ETA</t>
  </si>
  <si>
    <t>ETA TO DEL</t>
  </si>
  <si>
    <t>NBD TO ETA</t>
  </si>
  <si>
    <t>NBD TO DEL</t>
  </si>
  <si>
    <t>AVERAGE LT</t>
  </si>
  <si>
    <t>Columns</t>
  </si>
  <si>
    <t>???</t>
  </si>
  <si>
    <t>Healthy</t>
  </si>
  <si>
    <t>Original vals</t>
  </si>
  <si>
    <t>check</t>
  </si>
  <si>
    <t>SQL fix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</si>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</sst>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m\-dd"/>
    <numFmt numFmtId="165" formatCode="m/d/yyyy\ h:mm:ss\ AM/PM"/>
    <numFmt numFmtId="167" formatCode="_(* #,##0_);_(* \(#,##0\);_(* &quot;-&quot;??_);_(@_)"/>
    <numFmt numFmtId="168" formatCode="[$-409]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0"/>
      <name val="Aptos Narrow"/>
      <family val="2"/>
      <scheme val="minor"/>
    </font>
    <font>
      <b/>
      <sz val="11"/>
      <name val="Aptos Narrow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6" fillId="0" borderId="0"/>
  </cellStyleXfs>
  <cellXfs count="24">
    <xf numFmtId="0" fontId="0" fillId="0" borderId="0" xfId="0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2" fillId="3" borderId="1" xfId="0" applyFont="1" applyFill="1" applyBorder="1"/>
    <xf numFmtId="0" fontId="2" fillId="3" borderId="0" xfId="0" applyFont="1" applyFill="1"/>
    <xf numFmtId="0" fontId="0" fillId="2" borderId="3" xfId="0" applyFill="1" applyBorder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9" fontId="0" fillId="0" borderId="0" xfId="2" applyFont="1"/>
    <xf numFmtId="0" fontId="5" fillId="3" borderId="1" xfId="0" applyFont="1" applyFill="1" applyBorder="1"/>
    <xf numFmtId="1" fontId="2" fillId="3" borderId="0" xfId="0" applyNumberFormat="1" applyFont="1" applyFill="1"/>
    <xf numFmtId="9" fontId="2" fillId="3" borderId="0" xfId="2" applyFont="1" applyFill="1"/>
    <xf numFmtId="167" fontId="2" fillId="3" borderId="0" xfId="1" applyNumberFormat="1" applyFont="1" applyFill="1" applyBorder="1"/>
    <xf numFmtId="0" fontId="4" fillId="0" borderId="4" xfId="3" applyNumberFormat="1" applyFont="1" applyBorder="1" applyAlignment="1">
      <alignment horizontal="left" vertical="top" wrapText="1"/>
    </xf>
    <xf numFmtId="0" fontId="2" fillId="4" borderId="0" xfId="0" applyFont="1" applyFill="1"/>
  </cellXfs>
  <cellStyles count="4">
    <cellStyle name="Normal 2" xfId="3" xr:uid="{11717FDE-6A5C-4087-A53D-0728E0A8622D}"/>
    <cellStyle name="Обычный" xfId="0" builtinId="0"/>
    <cellStyle name="Процентный" xfId="2" builtinId="5"/>
    <cellStyle name="Финансовый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_ISS\__COMS\COMS%20Tracker%20ORIGINAL.xlsx" TargetMode="External"/><Relationship Id="rId1" Type="http://schemas.openxmlformats.org/officeDocument/2006/relationships/externalLinkPath" Target="COMS%20Tracker%20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T TIME "/>
      <sheetName val="Sheet1"/>
      <sheetName val="Sheet2"/>
      <sheetName val="KEITH REF"/>
      <sheetName val="IFS IMP TRACKER"/>
      <sheetName val="Sheet3"/>
      <sheetName val="FIGURES"/>
      <sheetName val="PRE-ALERT"/>
      <sheetName val="Analysis Pivot 2"/>
      <sheetName val="List"/>
      <sheetName val="Supplier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2AC3-89EE-4A8E-9D08-9AC7F1C7C8DF}">
  <sheetPr filterMode="1"/>
  <dimension ref="A1:E110"/>
  <sheetViews>
    <sheetView tabSelected="1" workbookViewId="0">
      <selection activeCell="E99" sqref="E99"/>
    </sheetView>
  </sheetViews>
  <sheetFormatPr defaultRowHeight="14.5" x14ac:dyDescent="0.35"/>
  <cols>
    <col min="1" max="1" width="39.54296875" customWidth="1"/>
    <col min="2" max="2" width="96.81640625" bestFit="1" customWidth="1"/>
    <col min="3" max="3" width="22.7265625" customWidth="1"/>
  </cols>
  <sheetData>
    <row r="1" spans="1:5" x14ac:dyDescent="0.35">
      <c r="A1" s="5" t="s">
        <v>133</v>
      </c>
      <c r="B1" s="5" t="s">
        <v>27</v>
      </c>
      <c r="C1" s="5" t="s">
        <v>136</v>
      </c>
      <c r="D1" s="5" t="s">
        <v>137</v>
      </c>
      <c r="E1" s="5" t="s">
        <v>138</v>
      </c>
    </row>
    <row r="2" spans="1:5" hidden="1" x14ac:dyDescent="0.35">
      <c r="A2" s="6" t="s">
        <v>28</v>
      </c>
      <c r="B2" s="1" t="s">
        <v>0</v>
      </c>
      <c r="C2" s="8" t="s">
        <v>0</v>
      </c>
    </row>
    <row r="3" spans="1:5" hidden="1" x14ac:dyDescent="0.35">
      <c r="A3" s="6" t="s">
        <v>29</v>
      </c>
      <c r="B3" s="1" t="s">
        <v>1</v>
      </c>
      <c r="C3" s="9" t="s">
        <v>1</v>
      </c>
    </row>
    <row r="4" spans="1:5" hidden="1" x14ac:dyDescent="0.35">
      <c r="A4" s="6" t="s">
        <v>30</v>
      </c>
      <c r="B4" s="1" t="s">
        <v>2</v>
      </c>
      <c r="C4" s="9" t="s">
        <v>2</v>
      </c>
    </row>
    <row r="5" spans="1:5" hidden="1" x14ac:dyDescent="0.35">
      <c r="A5" s="6" t="s">
        <v>31</v>
      </c>
      <c r="B5" s="1" t="s">
        <v>3</v>
      </c>
      <c r="C5" s="9" t="s">
        <v>3</v>
      </c>
    </row>
    <row r="6" spans="1:5" hidden="1" x14ac:dyDescent="0.35">
      <c r="A6" s="6" t="s">
        <v>32</v>
      </c>
      <c r="B6" s="1"/>
      <c r="C6" s="9"/>
    </row>
    <row r="7" spans="1:5" hidden="1" x14ac:dyDescent="0.35">
      <c r="A7" s="6" t="s">
        <v>33</v>
      </c>
      <c r="B7" s="1" t="s">
        <v>4</v>
      </c>
      <c r="C7" s="9" t="s">
        <v>4</v>
      </c>
    </row>
    <row r="8" spans="1:5" hidden="1" x14ac:dyDescent="0.35">
      <c r="A8" s="6" t="s">
        <v>34</v>
      </c>
      <c r="B8" s="1" t="s">
        <v>5</v>
      </c>
      <c r="C8" s="9" t="s">
        <v>5</v>
      </c>
    </row>
    <row r="9" spans="1:5" hidden="1" x14ac:dyDescent="0.35">
      <c r="A9" s="6" t="s">
        <v>35</v>
      </c>
      <c r="B9" s="1" t="s">
        <v>6</v>
      </c>
      <c r="C9" s="9" t="s">
        <v>6</v>
      </c>
    </row>
    <row r="10" spans="1:5" hidden="1" x14ac:dyDescent="0.35">
      <c r="A10" s="6" t="s">
        <v>36</v>
      </c>
      <c r="B10" s="1" t="s">
        <v>7</v>
      </c>
      <c r="C10" s="9" t="s">
        <v>7</v>
      </c>
    </row>
    <row r="11" spans="1:5" hidden="1" x14ac:dyDescent="0.35">
      <c r="A11" s="6" t="s">
        <v>37</v>
      </c>
      <c r="B11" s="1" t="s">
        <v>8</v>
      </c>
      <c r="C11" s="9" t="s">
        <v>8</v>
      </c>
    </row>
    <row r="12" spans="1:5" hidden="1" x14ac:dyDescent="0.35">
      <c r="A12" s="6" t="s">
        <v>38</v>
      </c>
      <c r="B12" s="1" t="s">
        <v>9</v>
      </c>
      <c r="C12" s="9" t="s">
        <v>9</v>
      </c>
    </row>
    <row r="13" spans="1:5" hidden="1" x14ac:dyDescent="0.35">
      <c r="A13" s="6" t="s">
        <v>39</v>
      </c>
      <c r="B13" s="1"/>
      <c r="C13" s="9"/>
    </row>
    <row r="14" spans="1:5" hidden="1" x14ac:dyDescent="0.35">
      <c r="A14" s="6" t="s">
        <v>40</v>
      </c>
      <c r="B14" s="1" t="s">
        <v>10</v>
      </c>
      <c r="C14" s="9" t="s">
        <v>10</v>
      </c>
    </row>
    <row r="15" spans="1:5" hidden="1" x14ac:dyDescent="0.35">
      <c r="A15" s="6" t="s">
        <v>41</v>
      </c>
      <c r="B15" s="1"/>
    </row>
    <row r="16" spans="1:5" hidden="1" x14ac:dyDescent="0.35">
      <c r="A16" s="6" t="s">
        <v>42</v>
      </c>
      <c r="B16" s="1" t="s">
        <v>11</v>
      </c>
      <c r="C16" s="9" t="s">
        <v>11</v>
      </c>
    </row>
    <row r="17" spans="1:3" hidden="1" x14ac:dyDescent="0.35">
      <c r="A17" s="6" t="s">
        <v>43</v>
      </c>
      <c r="B17" s="1" t="s">
        <v>12</v>
      </c>
      <c r="C17" s="9" t="s">
        <v>12</v>
      </c>
    </row>
    <row r="18" spans="1:3" hidden="1" x14ac:dyDescent="0.35">
      <c r="A18" s="6" t="s">
        <v>44</v>
      </c>
      <c r="B18" s="1" t="s">
        <v>13</v>
      </c>
      <c r="C18" s="9" t="s">
        <v>13</v>
      </c>
    </row>
    <row r="19" spans="1:3" hidden="1" x14ac:dyDescent="0.35">
      <c r="A19" s="6" t="s">
        <v>45</v>
      </c>
      <c r="B19" s="1" t="s">
        <v>14</v>
      </c>
      <c r="C19" s="9" t="s">
        <v>14</v>
      </c>
    </row>
    <row r="20" spans="1:3" hidden="1" x14ac:dyDescent="0.35">
      <c r="A20" s="6" t="s">
        <v>46</v>
      </c>
      <c r="B20" s="1" t="s">
        <v>15</v>
      </c>
      <c r="C20" s="9" t="s">
        <v>15</v>
      </c>
    </row>
    <row r="21" spans="1:3" hidden="1" x14ac:dyDescent="0.35">
      <c r="A21" s="6" t="s">
        <v>47</v>
      </c>
      <c r="B21" s="1" t="s">
        <v>16</v>
      </c>
    </row>
    <row r="22" spans="1:3" hidden="1" x14ac:dyDescent="0.35">
      <c r="A22" s="6" t="s">
        <v>48</v>
      </c>
      <c r="B22" s="2"/>
    </row>
    <row r="23" spans="1:3" hidden="1" x14ac:dyDescent="0.35">
      <c r="A23" s="6" t="s">
        <v>49</v>
      </c>
      <c r="B23" s="2"/>
    </row>
    <row r="24" spans="1:3" hidden="1" x14ac:dyDescent="0.35">
      <c r="A24" s="6" t="s">
        <v>50</v>
      </c>
      <c r="B24" s="2"/>
    </row>
    <row r="25" spans="1:3" hidden="1" x14ac:dyDescent="0.35">
      <c r="A25" s="6" t="s">
        <v>51</v>
      </c>
      <c r="B25" s="2"/>
    </row>
    <row r="26" spans="1:3" hidden="1" x14ac:dyDescent="0.35">
      <c r="A26" s="6" t="s">
        <v>52</v>
      </c>
      <c r="B26" s="1" t="s">
        <v>17</v>
      </c>
      <c r="C26" s="9" t="s">
        <v>17</v>
      </c>
    </row>
    <row r="27" spans="1:3" hidden="1" x14ac:dyDescent="0.35">
      <c r="A27" s="6" t="s">
        <v>53</v>
      </c>
      <c r="B27" s="3">
        <v>45945</v>
      </c>
      <c r="C27" s="10">
        <v>45945</v>
      </c>
    </row>
    <row r="28" spans="1:3" hidden="1" x14ac:dyDescent="0.35">
      <c r="A28" s="6" t="s">
        <v>54</v>
      </c>
      <c r="B28" s="3">
        <v>45945</v>
      </c>
      <c r="C28" s="10">
        <v>45945</v>
      </c>
    </row>
    <row r="29" spans="1:3" hidden="1" x14ac:dyDescent="0.35">
      <c r="A29" s="6" t="s">
        <v>55</v>
      </c>
      <c r="B29" s="3">
        <v>45945</v>
      </c>
      <c r="C29" s="10">
        <v>45945</v>
      </c>
    </row>
    <row r="30" spans="1:3" hidden="1" x14ac:dyDescent="0.35">
      <c r="A30" s="6" t="s">
        <v>56</v>
      </c>
      <c r="B30" s="3">
        <v>45947</v>
      </c>
      <c r="C30" s="10">
        <v>45947</v>
      </c>
    </row>
    <row r="31" spans="1:3" hidden="1" x14ac:dyDescent="0.35">
      <c r="A31" s="6" t="s">
        <v>57</v>
      </c>
      <c r="B31" s="3">
        <v>46041</v>
      </c>
      <c r="C31" s="10">
        <v>46041</v>
      </c>
    </row>
    <row r="32" spans="1:3" hidden="1" x14ac:dyDescent="0.35">
      <c r="A32" s="6" t="s">
        <v>58</v>
      </c>
      <c r="B32" s="3"/>
    </row>
    <row r="33" spans="1:5" hidden="1" x14ac:dyDescent="0.35">
      <c r="A33" s="6" t="s">
        <v>59</v>
      </c>
      <c r="B33" s="3"/>
    </row>
    <row r="34" spans="1:5" hidden="1" x14ac:dyDescent="0.35">
      <c r="A34" s="6" t="s">
        <v>60</v>
      </c>
      <c r="B34" s="3"/>
    </row>
    <row r="35" spans="1:5" hidden="1" x14ac:dyDescent="0.35">
      <c r="A35" s="6" t="s">
        <v>61</v>
      </c>
      <c r="B35" s="3">
        <v>46034</v>
      </c>
      <c r="C35" s="10">
        <v>46034</v>
      </c>
    </row>
    <row r="36" spans="1:5" hidden="1" x14ac:dyDescent="0.35">
      <c r="A36" s="6" t="s">
        <v>62</v>
      </c>
      <c r="B36" s="3"/>
    </row>
    <row r="37" spans="1:5" hidden="1" x14ac:dyDescent="0.35">
      <c r="A37" s="6" t="s">
        <v>63</v>
      </c>
      <c r="B37" s="3">
        <v>46035</v>
      </c>
      <c r="C37" s="10">
        <v>46035</v>
      </c>
    </row>
    <row r="38" spans="1:5" hidden="1" x14ac:dyDescent="0.35">
      <c r="A38" s="6" t="s">
        <v>64</v>
      </c>
      <c r="B38" s="1"/>
    </row>
    <row r="39" spans="1:5" hidden="1" x14ac:dyDescent="0.35">
      <c r="A39" s="6" t="s">
        <v>65</v>
      </c>
      <c r="B39" s="3"/>
    </row>
    <row r="40" spans="1:5" hidden="1" x14ac:dyDescent="0.35">
      <c r="A40" s="6" t="s">
        <v>66</v>
      </c>
      <c r="B40" s="3"/>
    </row>
    <row r="41" spans="1:5" x14ac:dyDescent="0.35">
      <c r="A41" s="11" t="s">
        <v>67</v>
      </c>
      <c r="B41" s="12" t="s">
        <v>18</v>
      </c>
      <c r="C41" s="12"/>
      <c r="D41" s="12" t="s">
        <v>134</v>
      </c>
      <c r="E41" s="23"/>
    </row>
    <row r="42" spans="1:5" hidden="1" x14ac:dyDescent="0.35">
      <c r="A42" s="6" t="s">
        <v>68</v>
      </c>
      <c r="B42" s="1" t="s">
        <v>19</v>
      </c>
      <c r="C42" s="13" t="s">
        <v>19</v>
      </c>
    </row>
    <row r="43" spans="1:5" hidden="1" x14ac:dyDescent="0.35">
      <c r="A43" s="6" t="s">
        <v>69</v>
      </c>
      <c r="B43" s="1" t="s">
        <v>20</v>
      </c>
      <c r="C43" s="13" t="s">
        <v>20</v>
      </c>
    </row>
    <row r="44" spans="1:5" hidden="1" x14ac:dyDescent="0.35">
      <c r="A44" s="6" t="s">
        <v>70</v>
      </c>
      <c r="B44" s="1" t="s">
        <v>21</v>
      </c>
      <c r="C44">
        <v>0</v>
      </c>
    </row>
    <row r="45" spans="1:5" hidden="1" x14ac:dyDescent="0.35">
      <c r="A45" s="6" t="s">
        <v>71</v>
      </c>
      <c r="B45" s="1" t="s">
        <v>22</v>
      </c>
      <c r="C45" s="13" t="s">
        <v>22</v>
      </c>
    </row>
    <row r="46" spans="1:5" hidden="1" x14ac:dyDescent="0.35">
      <c r="A46" s="6" t="s">
        <v>72</v>
      </c>
      <c r="B46" s="1" t="s">
        <v>22</v>
      </c>
      <c r="C46" s="13" t="s">
        <v>22</v>
      </c>
    </row>
    <row r="47" spans="1:5" hidden="1" x14ac:dyDescent="0.35">
      <c r="A47" s="6" t="s">
        <v>73</v>
      </c>
      <c r="B47" s="1" t="s">
        <v>23</v>
      </c>
      <c r="C47">
        <v>54</v>
      </c>
    </row>
    <row r="48" spans="1:5" hidden="1" x14ac:dyDescent="0.35">
      <c r="A48" s="6" t="s">
        <v>74</v>
      </c>
      <c r="B48" s="1" t="s">
        <v>24</v>
      </c>
      <c r="C48" s="14" t="s">
        <v>24</v>
      </c>
    </row>
    <row r="49" spans="1:5" hidden="1" x14ac:dyDescent="0.35">
      <c r="A49" s="6" t="s">
        <v>75</v>
      </c>
      <c r="B49" s="1"/>
    </row>
    <row r="50" spans="1:5" hidden="1" x14ac:dyDescent="0.35">
      <c r="A50" s="6" t="s">
        <v>76</v>
      </c>
      <c r="B50" s="1"/>
    </row>
    <row r="51" spans="1:5" x14ac:dyDescent="0.35">
      <c r="A51" s="15" t="s">
        <v>77</v>
      </c>
      <c r="B51" s="16" t="s">
        <v>25</v>
      </c>
      <c r="C51" s="16"/>
      <c r="D51" s="16" t="s">
        <v>134</v>
      </c>
      <c r="E51" s="23"/>
    </row>
    <row r="52" spans="1:5" hidden="1" x14ac:dyDescent="0.35">
      <c r="A52" s="6" t="s">
        <v>78</v>
      </c>
      <c r="B52" s="1"/>
    </row>
    <row r="53" spans="1:5" hidden="1" x14ac:dyDescent="0.35">
      <c r="A53" s="7" t="s">
        <v>79</v>
      </c>
      <c r="B53" s="2">
        <v>1</v>
      </c>
      <c r="C53" s="17">
        <v>1</v>
      </c>
    </row>
    <row r="54" spans="1:5" x14ac:dyDescent="0.35">
      <c r="A54" s="18" t="s">
        <v>80</v>
      </c>
      <c r="B54" s="19">
        <v>0</v>
      </c>
      <c r="C54" s="20">
        <v>1</v>
      </c>
      <c r="D54" s="12" t="s">
        <v>134</v>
      </c>
      <c r="E54" s="23" t="s">
        <v>139</v>
      </c>
    </row>
    <row r="55" spans="1:5" x14ac:dyDescent="0.35">
      <c r="A55" s="18" t="s">
        <v>81</v>
      </c>
      <c r="B55" s="19">
        <v>0</v>
      </c>
      <c r="C55" s="20">
        <v>-6575.29</v>
      </c>
      <c r="D55" s="12" t="s">
        <v>134</v>
      </c>
      <c r="E55" s="23" t="s">
        <v>139</v>
      </c>
    </row>
    <row r="56" spans="1:5" x14ac:dyDescent="0.35">
      <c r="A56" s="11" t="s">
        <v>82</v>
      </c>
      <c r="B56" s="19">
        <v>0</v>
      </c>
      <c r="C56" s="20">
        <v>1</v>
      </c>
      <c r="D56" s="12" t="s">
        <v>134</v>
      </c>
      <c r="E56" s="23" t="s">
        <v>139</v>
      </c>
    </row>
    <row r="57" spans="1:5" hidden="1" x14ac:dyDescent="0.35">
      <c r="A57" s="6" t="s">
        <v>83</v>
      </c>
      <c r="B57" s="2">
        <v>0</v>
      </c>
      <c r="C57" s="17">
        <v>0</v>
      </c>
    </row>
    <row r="58" spans="1:5" hidden="1" x14ac:dyDescent="0.35">
      <c r="A58" s="6" t="s">
        <v>84</v>
      </c>
      <c r="B58" s="2">
        <v>0</v>
      </c>
      <c r="C58" s="17">
        <v>0</v>
      </c>
    </row>
    <row r="59" spans="1:5" x14ac:dyDescent="0.35">
      <c r="A59" s="11" t="s">
        <v>85</v>
      </c>
      <c r="B59" s="19">
        <v>0</v>
      </c>
      <c r="C59" s="21">
        <v>108</v>
      </c>
      <c r="D59" s="12" t="s">
        <v>134</v>
      </c>
      <c r="E59" s="23" t="s">
        <v>139</v>
      </c>
    </row>
    <row r="60" spans="1:5" x14ac:dyDescent="0.35">
      <c r="A60" s="11" t="s">
        <v>86</v>
      </c>
      <c r="B60" s="19"/>
      <c r="C60" s="12">
        <v>0</v>
      </c>
      <c r="D60" s="12" t="s">
        <v>134</v>
      </c>
      <c r="E60" s="23" t="s">
        <v>139</v>
      </c>
    </row>
    <row r="61" spans="1:5" x14ac:dyDescent="0.35">
      <c r="A61" s="11" t="s">
        <v>87</v>
      </c>
      <c r="B61" s="12"/>
      <c r="C61" s="12" t="s">
        <v>135</v>
      </c>
      <c r="D61" s="12" t="s">
        <v>134</v>
      </c>
      <c r="E61" s="23" t="s">
        <v>139</v>
      </c>
    </row>
    <row r="62" spans="1:5" hidden="1" x14ac:dyDescent="0.35">
      <c r="A62" s="6" t="s">
        <v>88</v>
      </c>
      <c r="B62" s="1"/>
    </row>
    <row r="63" spans="1:5" hidden="1" x14ac:dyDescent="0.35">
      <c r="A63" s="6" t="s">
        <v>89</v>
      </c>
      <c r="B63" s="2">
        <v>0</v>
      </c>
      <c r="C63">
        <v>0</v>
      </c>
    </row>
    <row r="64" spans="1:5" x14ac:dyDescent="0.35">
      <c r="A64" s="11" t="s">
        <v>90</v>
      </c>
      <c r="B64" s="19"/>
      <c r="C64" s="12">
        <v>0</v>
      </c>
      <c r="D64" s="12" t="s">
        <v>134</v>
      </c>
      <c r="E64" s="23"/>
    </row>
    <row r="65" spans="1:5" x14ac:dyDescent="0.35">
      <c r="A65" s="11" t="s">
        <v>91</v>
      </c>
      <c r="B65" s="19"/>
      <c r="C65" s="12">
        <v>0</v>
      </c>
      <c r="D65" s="12" t="s">
        <v>134</v>
      </c>
      <c r="E65" s="23"/>
    </row>
    <row r="66" spans="1:5" x14ac:dyDescent="0.35">
      <c r="A66" s="11" t="s">
        <v>92</v>
      </c>
      <c r="B66" s="19"/>
      <c r="C66" s="12">
        <v>46034</v>
      </c>
      <c r="D66" s="12" t="s">
        <v>134</v>
      </c>
      <c r="E66" s="23"/>
    </row>
    <row r="67" spans="1:5" hidden="1" x14ac:dyDescent="0.35">
      <c r="A67" s="6" t="s">
        <v>93</v>
      </c>
      <c r="B67" s="2">
        <v>1</v>
      </c>
      <c r="C67">
        <v>1</v>
      </c>
    </row>
    <row r="68" spans="1:5" x14ac:dyDescent="0.35">
      <c r="A68" s="11" t="s">
        <v>94</v>
      </c>
      <c r="B68" s="19"/>
      <c r="C68" s="12">
        <v>0</v>
      </c>
      <c r="D68" s="12" t="s">
        <v>134</v>
      </c>
      <c r="E68" s="23"/>
    </row>
    <row r="69" spans="1:5" hidden="1" x14ac:dyDescent="0.35">
      <c r="A69" s="6" t="s">
        <v>95</v>
      </c>
      <c r="B69" s="1"/>
    </row>
    <row r="70" spans="1:5" hidden="1" x14ac:dyDescent="0.35">
      <c r="A70" s="6" t="s">
        <v>96</v>
      </c>
      <c r="B70" s="1"/>
    </row>
    <row r="71" spans="1:5" hidden="1" x14ac:dyDescent="0.35">
      <c r="A71" s="6" t="s">
        <v>97</v>
      </c>
      <c r="B71" s="1"/>
    </row>
    <row r="72" spans="1:5" hidden="1" x14ac:dyDescent="0.35">
      <c r="A72" s="6" t="s">
        <v>98</v>
      </c>
      <c r="B72" s="1"/>
    </row>
    <row r="73" spans="1:5" hidden="1" x14ac:dyDescent="0.35">
      <c r="A73" s="6" t="s">
        <v>99</v>
      </c>
      <c r="B73" s="1"/>
    </row>
    <row r="74" spans="1:5" hidden="1" x14ac:dyDescent="0.35">
      <c r="A74" s="6" t="s">
        <v>100</v>
      </c>
      <c r="B74" s="1"/>
    </row>
    <row r="75" spans="1:5" hidden="1" x14ac:dyDescent="0.35">
      <c r="A75" s="6" t="s">
        <v>101</v>
      </c>
      <c r="B75" s="1"/>
    </row>
    <row r="76" spans="1:5" hidden="1" x14ac:dyDescent="0.35">
      <c r="A76" s="6" t="s">
        <v>102</v>
      </c>
      <c r="B76" s="1"/>
    </row>
    <row r="77" spans="1:5" hidden="1" x14ac:dyDescent="0.35">
      <c r="A77" s="6" t="s">
        <v>103</v>
      </c>
      <c r="B77" s="1"/>
    </row>
    <row r="78" spans="1:5" hidden="1" x14ac:dyDescent="0.35">
      <c r="A78" s="6" t="s">
        <v>104</v>
      </c>
      <c r="B78" s="1"/>
    </row>
    <row r="79" spans="1:5" hidden="1" x14ac:dyDescent="0.35">
      <c r="A79" s="6" t="s">
        <v>105</v>
      </c>
      <c r="B79" s="1"/>
    </row>
    <row r="80" spans="1:5" hidden="1" x14ac:dyDescent="0.35">
      <c r="A80" s="6" t="s">
        <v>106</v>
      </c>
      <c r="B80" s="1"/>
    </row>
    <row r="81" spans="1:3" hidden="1" x14ac:dyDescent="0.35">
      <c r="A81" s="6" t="s">
        <v>107</v>
      </c>
      <c r="B81" s="4"/>
    </row>
    <row r="82" spans="1:3" hidden="1" x14ac:dyDescent="0.35">
      <c r="A82" s="6" t="s">
        <v>108</v>
      </c>
      <c r="B82" s="1" t="s">
        <v>26</v>
      </c>
      <c r="C82" s="22" t="str">
        <f>IF(ISBLANK([1]!GEN_CRG_IMP[[#This Row],[PR DATE]]),"Pending","Logged")</f>
        <v>Pending</v>
      </c>
    </row>
    <row r="83" spans="1:3" hidden="1" x14ac:dyDescent="0.35">
      <c r="A83" s="6" t="s">
        <v>109</v>
      </c>
      <c r="B83" s="1"/>
    </row>
    <row r="84" spans="1:3" hidden="1" x14ac:dyDescent="0.35">
      <c r="A84" s="6" t="s">
        <v>110</v>
      </c>
      <c r="B84" s="1" t="s">
        <v>26</v>
      </c>
      <c r="C84" s="22" t="str">
        <f>IF(ISBLANK([1]!GEN_CRG_IMP[[#This Row],[PR DATE]]),"Pending","Logged")</f>
        <v>Pending</v>
      </c>
    </row>
    <row r="85" spans="1:3" hidden="1" x14ac:dyDescent="0.35">
      <c r="A85" s="6" t="s">
        <v>111</v>
      </c>
      <c r="B85" s="1"/>
    </row>
    <row r="86" spans="1:3" hidden="1" x14ac:dyDescent="0.35">
      <c r="A86" s="6" t="s">
        <v>112</v>
      </c>
      <c r="B86" s="1"/>
    </row>
    <row r="87" spans="1:3" hidden="1" x14ac:dyDescent="0.35">
      <c r="A87" s="6" t="s">
        <v>113</v>
      </c>
      <c r="B87" s="1" t="s">
        <v>26</v>
      </c>
      <c r="C87" s="22" t="str" cm="1">
        <f t="array" ref="C87">_xlfn.IFS(ISTEXT([1]!GEN_CRG_IMP[[#This Row],[Invoice '#]]),"Billed",[1]!GEN_CRG_IMP[[#This Row],[PO STATUS]]="Received","Pending",[1]!GEN_CRG_IMP[[#This Row],[PO STATUS]]="Pending","Pending")</f>
        <v>Pending</v>
      </c>
    </row>
    <row r="88" spans="1:3" hidden="1" x14ac:dyDescent="0.35">
      <c r="A88" s="6" t="s">
        <v>114</v>
      </c>
      <c r="B88" s="1"/>
    </row>
    <row r="89" spans="1:3" hidden="1" x14ac:dyDescent="0.35">
      <c r="A89" s="6" t="s">
        <v>115</v>
      </c>
      <c r="B89" s="1"/>
    </row>
    <row r="90" spans="1:3" hidden="1" x14ac:dyDescent="0.35">
      <c r="A90" s="6" t="s">
        <v>116</v>
      </c>
      <c r="B90" s="1" t="s">
        <v>26</v>
      </c>
      <c r="C90" s="22" t="str" cm="1">
        <f t="array" ref="C90">_xlfn.IFS(ISTEXT([1]!GEN_CRG_IMP[[#This Row],[Invoice '#]]),"Billed",[1]!GEN_CRG_IMP[[#This Row],[PO STATUS]]="Received","Pending",[1]!GEN_CRG_IMP[[#This Row],[PO STATUS]]="Pending","Pending")</f>
        <v>Pending</v>
      </c>
    </row>
    <row r="91" spans="1:3" hidden="1" x14ac:dyDescent="0.35">
      <c r="A91" s="6" t="s">
        <v>117</v>
      </c>
      <c r="B91" s="1"/>
    </row>
    <row r="92" spans="1:3" hidden="1" x14ac:dyDescent="0.35">
      <c r="A92" s="6" t="s">
        <v>118</v>
      </c>
      <c r="B92" s="1"/>
    </row>
    <row r="93" spans="1:3" hidden="1" x14ac:dyDescent="0.35">
      <c r="A93" s="6" t="s">
        <v>119</v>
      </c>
      <c r="B93" s="1"/>
    </row>
    <row r="94" spans="1:3" hidden="1" x14ac:dyDescent="0.35">
      <c r="A94" s="6" t="s">
        <v>120</v>
      </c>
      <c r="B94" s="1"/>
    </row>
    <row r="95" spans="1:3" hidden="1" x14ac:dyDescent="0.35">
      <c r="A95" s="6" t="s">
        <v>121</v>
      </c>
      <c r="B95" s="2"/>
    </row>
    <row r="96" spans="1:3" hidden="1" x14ac:dyDescent="0.35">
      <c r="A96" s="6" t="s">
        <v>122</v>
      </c>
      <c r="B96" s="2"/>
    </row>
    <row r="97" spans="1:5" hidden="1" x14ac:dyDescent="0.35">
      <c r="A97" s="6" t="s">
        <v>123</v>
      </c>
      <c r="B97" s="2"/>
    </row>
    <row r="98" spans="1:5" hidden="1" x14ac:dyDescent="0.35">
      <c r="A98" s="6" t="s">
        <v>124</v>
      </c>
      <c r="B98" s="1"/>
    </row>
    <row r="99" spans="1:5" x14ac:dyDescent="0.35">
      <c r="A99" s="11" t="s">
        <v>125</v>
      </c>
      <c r="B99" s="19"/>
      <c r="C99" s="12">
        <v>-46041</v>
      </c>
      <c r="D99" s="12" t="s">
        <v>134</v>
      </c>
      <c r="E99" s="23"/>
    </row>
    <row r="100" spans="1:5" x14ac:dyDescent="0.35">
      <c r="A100" s="11" t="s">
        <v>126</v>
      </c>
      <c r="B100" s="19"/>
      <c r="C100" s="12">
        <v>0</v>
      </c>
      <c r="D100" s="12" t="s">
        <v>134</v>
      </c>
      <c r="E100" s="23"/>
    </row>
    <row r="101" spans="1:5" x14ac:dyDescent="0.35">
      <c r="A101" s="11" t="s">
        <v>127</v>
      </c>
      <c r="B101" s="19"/>
      <c r="C101" s="12">
        <v>46034</v>
      </c>
      <c r="D101" s="12" t="s">
        <v>134</v>
      </c>
      <c r="E101" s="23"/>
    </row>
    <row r="102" spans="1:5" hidden="1" x14ac:dyDescent="0.35">
      <c r="A102" s="6" t="s">
        <v>128</v>
      </c>
      <c r="B102" s="2">
        <v>1</v>
      </c>
      <c r="C102">
        <v>1</v>
      </c>
    </row>
    <row r="103" spans="1:5" x14ac:dyDescent="0.35">
      <c r="A103" s="11" t="s">
        <v>129</v>
      </c>
      <c r="B103" s="19"/>
      <c r="C103" s="12">
        <v>-46035</v>
      </c>
      <c r="D103" s="12" t="s">
        <v>134</v>
      </c>
      <c r="E103" s="23"/>
    </row>
    <row r="104" spans="1:5" x14ac:dyDescent="0.35">
      <c r="A104" s="11" t="s">
        <v>130</v>
      </c>
      <c r="B104" s="19"/>
      <c r="C104" s="12">
        <v>-6</v>
      </c>
      <c r="D104" s="12" t="s">
        <v>134</v>
      </c>
      <c r="E104" s="23"/>
    </row>
    <row r="105" spans="1:5" x14ac:dyDescent="0.35">
      <c r="A105" s="11" t="s">
        <v>131</v>
      </c>
      <c r="B105" s="19"/>
      <c r="C105" s="12">
        <v>46041</v>
      </c>
      <c r="D105" s="12" t="s">
        <v>134</v>
      </c>
      <c r="E105" s="23"/>
    </row>
    <row r="106" spans="1:5" x14ac:dyDescent="0.35">
      <c r="A106" s="11" t="s">
        <v>132</v>
      </c>
      <c r="B106" s="19"/>
      <c r="C106" s="12">
        <v>46035</v>
      </c>
      <c r="D106" s="12" t="s">
        <v>134</v>
      </c>
      <c r="E106" s="23"/>
    </row>
    <row r="110" spans="1:5" x14ac:dyDescent="0.35">
      <c r="D110" t="s">
        <v>9</v>
      </c>
    </row>
  </sheetData>
  <autoFilter ref="A1:E106" xr:uid="{349C2AC3-89EE-4A8E-9D08-9AC7F1C7C8DF}">
    <filterColumn colId="3">
      <customFilters>
        <customFilter operator="notEqual" val=" "/>
      </customFilters>
    </filterColumn>
  </autoFilter>
  <conditionalFormatting sqref="C4">
    <cfRule type="duplicateValues" dxfId="16" priority="8"/>
  </conditionalFormatting>
  <conditionalFormatting sqref="C4:C5">
    <cfRule type="duplicateValues" dxfId="14" priority="9"/>
    <cfRule type="duplicateValues" dxfId="15" priority="10"/>
  </conditionalFormatting>
  <conditionalFormatting sqref="C6">
    <cfRule type="duplicateValues" dxfId="8" priority="6"/>
    <cfRule type="duplicateValues" dxfId="9" priority="7"/>
  </conditionalFormatting>
  <conditionalFormatting sqref="C7:C8">
    <cfRule type="duplicateValues" dxfId="7" priority="5"/>
  </conditionalFormatting>
  <conditionalFormatting sqref="C8">
    <cfRule type="duplicateValues" dxfId="6" priority="4"/>
  </conditionalFormatting>
  <conditionalFormatting sqref="C13:C14">
    <cfRule type="containsText" dxfId="2" priority="2" operator="containsText" text="TBA">
      <formula>NOT(ISERROR(SEARCH("TBA",C13)))</formula>
    </cfRule>
  </conditionalFormatting>
  <conditionalFormatting sqref="C13:C14">
    <cfRule type="containsText" dxfId="1" priority="1" operator="containsText" text="N/A">
      <formula>NOT(ISERROR(SEARCH("N/A",C13)))</formula>
    </cfRule>
  </conditionalFormatting>
  <conditionalFormatting sqref="C13">
    <cfRule type="duplicateValues" dxfId="0" priority="3"/>
  </conditionalFormatting>
  <dataValidations count="3">
    <dataValidation type="list" allowBlank="1" showInputMessage="1" showErrorMessage="1" errorTitle="Invalid Entry!" error="Please check and re-enter." promptTitle="Select Business Unit" prompt="Please select the Business Unit for whom this shipment is for from the given drop down list." sqref="C2" xr:uid="{99166FED-F78D-4C26-80DF-6DF1E0A52FD7}">
      <formula1>"IFS, W&amp;C, Return, TBA, Retail, Magazine, Export"</formula1>
    </dataValidation>
    <dataValidation type="list" allowBlank="1" showInputMessage="1" showErrorMessage="1" errorTitle="Invalid Entry!" error="Please check and re-enter." promptTitle="Select Mode" prompt="Please choose the mode of transport from drop-down list." sqref="C9" xr:uid="{43D03982-5C78-4884-8902-2DD010D36321}">
      <formula1>"SI, AI, RF, TBA, N/A"</formula1>
    </dataValidation>
    <dataValidation type="list" allowBlank="1" showInputMessage="1" showErrorMessage="1" errorTitle="Invalid Entry!" error="Please check and re-enter." promptTitle="Choose Routing Party" prompt="Please select the routing details applicable for this shipment from given drop down list." sqref="C10" xr:uid="{A7F815B2-8957-469B-9FE1-21B73AD2ABF8}">
      <formula1>"ISS, Direct, Others, TBA, N/A"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2026-01-07T14:14:52Z</dcterms:created>
  <dcterms:modified xsi:type="dcterms:W3CDTF">2026-01-09T08:27:44Z</dcterms:modified>
</cp:coreProperties>
</file>