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C878D8FB-4DA0-4EBE-B457-C82CCD005D0D}" xr6:coauthVersionLast="47" xr6:coauthVersionMax="47" xr10:uidLastSave="{00000000-0000-0000-0000-000000000000}"/>
  <bookViews>
    <workbookView xWindow="-110" yWindow="-110" windowWidth="25420" windowHeight="16300" xr2:uid="{CBEB83F1-709C-4358-B85C-0710944D050E}"/>
  </bookViews>
  <sheets>
    <sheet name="Лист1" sheetId="1" r:id="rId1"/>
    <sheet name="Лист2" sheetId="2" r:id="rId2"/>
    <sheet name="cols" sheetId="4" r:id="rId3"/>
    <sheet name="Лист3" sheetId="3" r:id="rId4"/>
  </sheets>
  <definedNames>
    <definedName name="ExternalData_1" localSheetId="2" hidden="1">'cols'!$A$1:$FB$2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" l="1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71" i="2"/>
  <c r="C72" i="2"/>
  <c r="C73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2C10D-0B10-41AE-A0A4-1D2A492D11B6}" keepAlive="1" name="Запрос — cols" description="Соединение с запросом &quot;cols&quot; в книге." type="5" refreshedVersion="8" background="1" saveData="1">
    <dbPr connection="Provider=Microsoft.Mashup.OleDb.1;Data Source=$Workbook$;Location=cols;Extended Properties=&quot;&quot;" command="SELECT * FROM [cols]"/>
  </connection>
</connections>
</file>

<file path=xl/sharedStrings.xml><?xml version="1.0" encoding="utf-8"?>
<sst xmlns="http://schemas.openxmlformats.org/spreadsheetml/2006/main" count="633" uniqueCount="196">
  <si>
    <t>PO line 1</t>
  </si>
  <si>
    <t>PO line 2</t>
  </si>
  <si>
    <t>FO 1</t>
  </si>
  <si>
    <t>FO 2</t>
  </si>
  <si>
    <t>FO 3</t>
  </si>
  <si>
    <t>F EDD</t>
  </si>
  <si>
    <t>C EDD</t>
  </si>
  <si>
    <t>PO LINE EDD</t>
  </si>
  <si>
    <t>Created</t>
  </si>
  <si>
    <t>PO line 3</t>
  </si>
  <si>
    <t>Ordered qty</t>
  </si>
  <si>
    <t>Enriched qty</t>
  </si>
  <si>
    <t>Created + 3 days if &gt; Cur date  and NOT enriched then the color is gray</t>
  </si>
  <si>
    <t>If it s fully enriched =&gt; color green</t>
  </si>
  <si>
    <t>Remaining qty</t>
  </si>
  <si>
    <t>Green if partially enriched</t>
  </si>
  <si>
    <t>yellow (remaining)</t>
  </si>
  <si>
    <t>* PO Acknowledgement Exception:</t>
  </si>
  <si>
    <t>PO line 4</t>
  </si>
  <si>
    <t>Created +  3 days &lt; Cur date &amp;&amp; not enriched -&gt; red</t>
  </si>
  <si>
    <t>_line_type</t>
  </si>
  <si>
    <t>_line_id</t>
  </si>
  <si>
    <t>_line_no</t>
  </si>
  <si>
    <t>_client_id</t>
  </si>
  <si>
    <t>_client_name</t>
  </si>
  <si>
    <t>_ordered</t>
  </si>
  <si>
    <t>_shipped</t>
  </si>
  <si>
    <t>_qnty_shipped_remaning</t>
  </si>
  <si>
    <t>_inner_qnty_shipped</t>
  </si>
  <si>
    <t>_balance_outer_qnty</t>
  </si>
  <si>
    <t>_balance_inner_qnty</t>
  </si>
  <si>
    <t>_freight_unit_id</t>
  </si>
  <si>
    <t>_fo_id</t>
  </si>
  <si>
    <t>_fo_serial</t>
  </si>
  <si>
    <t>_shipment_link</t>
  </si>
  <si>
    <t>_branch_bu</t>
  </si>
  <si>
    <t>_supplier_code</t>
  </si>
  <si>
    <t>_supplier_name</t>
  </si>
  <si>
    <t>_po_no_ekporef</t>
  </si>
  <si>
    <t>_po_remarks</t>
  </si>
  <si>
    <t>_commodity</t>
  </si>
  <si>
    <t>_po_type</t>
  </si>
  <si>
    <t>_po_uom</t>
  </si>
  <si>
    <t>_units_po_uom</t>
  </si>
  <si>
    <t>_po_inner_qnty</t>
  </si>
  <si>
    <t>_po_line_status</t>
  </si>
  <si>
    <t>_item_code</t>
  </si>
  <si>
    <t>_incoterms</t>
  </si>
  <si>
    <t>_incoterms_desc</t>
  </si>
  <si>
    <t>_pr_appr_date</t>
  </si>
  <si>
    <t>_po_app_date</t>
  </si>
  <si>
    <t>_po_creation_date</t>
  </si>
  <si>
    <t>_po_recd_date</t>
  </si>
  <si>
    <t>_po_need_by_date</t>
  </si>
  <si>
    <t>_mode</t>
  </si>
  <si>
    <t>_routed_by</t>
  </si>
  <si>
    <t>_ship_remarks_updates</t>
  </si>
  <si>
    <t>_ship_billing_remarks</t>
  </si>
  <si>
    <t>_incoterms_fo</t>
  </si>
  <si>
    <t>_shipment_serial_iss_job</t>
  </si>
  <si>
    <t>_inbound_iss_job_no</t>
  </si>
  <si>
    <t>_outbound_iss_job_no</t>
  </si>
  <si>
    <t>_hbl_hawb</t>
  </si>
  <si>
    <t>_mbl_mawb</t>
  </si>
  <si>
    <t>_container_no</t>
  </si>
  <si>
    <t>_cbm</t>
  </si>
  <si>
    <t>_gw</t>
  </si>
  <si>
    <t>_chw</t>
  </si>
  <si>
    <t>_qnty</t>
  </si>
  <si>
    <t>_eqpt_type</t>
  </si>
  <si>
    <t>_pack_type</t>
  </si>
  <si>
    <t>_20_ft</t>
  </si>
  <si>
    <t>_40_ft</t>
  </si>
  <si>
    <t>_count_of_cont</t>
  </si>
  <si>
    <t>_teus</t>
  </si>
  <si>
    <t>_carrier</t>
  </si>
  <si>
    <t>_arrival_date</t>
  </si>
  <si>
    <t>_del</t>
  </si>
  <si>
    <t>_departure_date</t>
  </si>
  <si>
    <t>_departure_date_actual</t>
  </si>
  <si>
    <t>_crd_actual</t>
  </si>
  <si>
    <t>_crd_estimated</t>
  </si>
  <si>
    <t>_crd</t>
  </si>
  <si>
    <t>_est_cargo_ready_date</t>
  </si>
  <si>
    <t>_goods_cleared_origin</t>
  </si>
  <si>
    <t>_goods_cleared_destination</t>
  </si>
  <si>
    <t>_pickup_date</t>
  </si>
  <si>
    <t>_cargo_ho</t>
  </si>
  <si>
    <t>_eta</t>
  </si>
  <si>
    <t>_revised_eta</t>
  </si>
  <si>
    <t>_eta_wakeo</t>
  </si>
  <si>
    <t>_full_eta</t>
  </si>
  <si>
    <t>_etd</t>
  </si>
  <si>
    <t>_revised_etd</t>
  </si>
  <si>
    <t>_etd_wakeo</t>
  </si>
  <si>
    <t>_full_etd</t>
  </si>
  <si>
    <t>_first_edd_po</t>
  </si>
  <si>
    <t>_current_edd_fo</t>
  </si>
  <si>
    <t>_first_edd_fo</t>
  </si>
  <si>
    <t>_current_edd_po</t>
  </si>
  <si>
    <t>_pod_date</t>
  </si>
  <si>
    <t>_do_date</t>
  </si>
  <si>
    <t>_do_exp</t>
  </si>
  <si>
    <t>_pr_number</t>
  </si>
  <si>
    <t>_pr_date</t>
  </si>
  <si>
    <t>_req_status</t>
  </si>
  <si>
    <t>_spo_number</t>
  </si>
  <si>
    <t>_po_status</t>
  </si>
  <si>
    <t>_grn_no</t>
  </si>
  <si>
    <t>_grn_status</t>
  </si>
  <si>
    <t>_addl_po</t>
  </si>
  <si>
    <t>_addl_po_grn</t>
  </si>
  <si>
    <t>_days_delayed_eta</t>
  </si>
  <si>
    <t>_days_delayed_etd</t>
  </si>
  <si>
    <t>_etd_2_eta</t>
  </si>
  <si>
    <t>_eta_2_del</t>
  </si>
  <si>
    <t>_nbd_2_del</t>
  </si>
  <si>
    <t>_origin_port_pol</t>
  </si>
  <si>
    <t>_delivery_location</t>
  </si>
  <si>
    <t>_origin_port_name</t>
  </si>
  <si>
    <t>_origin_country</t>
  </si>
  <si>
    <t>_origin_region_org_reg</t>
  </si>
  <si>
    <t>_destination_port_code_dest</t>
  </si>
  <si>
    <t>_destination_port_name_dest</t>
  </si>
  <si>
    <t>_destination_country_code_dest</t>
  </si>
  <si>
    <t>_destination_country_dest</t>
  </si>
  <si>
    <t>_destination_region_reg</t>
  </si>
  <si>
    <t>_aux_charge_type</t>
  </si>
  <si>
    <t>_aux_charge_form_no</t>
  </si>
  <si>
    <t>_org_charges_aed</t>
  </si>
  <si>
    <t>_dest_charges_aed</t>
  </si>
  <si>
    <t>_frt_charges_aed</t>
  </si>
  <si>
    <t>_aux_charges_aed</t>
  </si>
  <si>
    <t>_p2p_value_aed</t>
  </si>
  <si>
    <t>_total_charges_aed</t>
  </si>
  <si>
    <t>_org_charges_usd</t>
  </si>
  <si>
    <t>_dest_charges_usd</t>
  </si>
  <si>
    <t>_frt_charges_usd</t>
  </si>
  <si>
    <t>_aux_charges_usd</t>
  </si>
  <si>
    <t>_p2p_value_usd</t>
  </si>
  <si>
    <t>_total_charges_usd</t>
  </si>
  <si>
    <t>_invoice_no</t>
  </si>
  <si>
    <t>_invoice_issue_date</t>
  </si>
  <si>
    <t>_addl_issued_invoices</t>
  </si>
  <si>
    <t>_addl_invoice_issue_date</t>
  </si>
  <si>
    <t>_customs_invoice_aed</t>
  </si>
  <si>
    <t>_customs_invoice_usd</t>
  </si>
  <si>
    <t>_billing_status</t>
  </si>
  <si>
    <t>_days_order_placement_lt</t>
  </si>
  <si>
    <t>_days_supplier_production_lt</t>
  </si>
  <si>
    <t>_days_custom_clearance_lt</t>
  </si>
  <si>
    <t>_days_iss_cont_booking_lt</t>
  </si>
  <si>
    <t>_days_transit_lt</t>
  </si>
  <si>
    <t>_e2e_total_lt</t>
  </si>
  <si>
    <t>_supplier_lead_time</t>
  </si>
  <si>
    <t>_country_lead_time</t>
  </si>
  <si>
    <t>_ontime_order_placement_perf</t>
  </si>
  <si>
    <t>_days_total_comm_perf</t>
  </si>
  <si>
    <t>_ship_focus_status</t>
  </si>
  <si>
    <t>_pre_alert</t>
  </si>
  <si>
    <t>_dn</t>
  </si>
  <si>
    <t>_actual_lead</t>
  </si>
  <si>
    <t>_health_check</t>
  </si>
  <si>
    <t>_status</t>
  </si>
  <si>
    <t>_e2e_total_lead_time_perf</t>
  </si>
  <si>
    <t>_iss_cont_booking_perf</t>
  </si>
  <si>
    <t>_supplier_committed_prod_rdy_perf</t>
  </si>
  <si>
    <t>_iss_transit_lead_time_perf</t>
  </si>
  <si>
    <t>_iss_custom_clear_perf</t>
  </si>
  <si>
    <t>_rdd_eta</t>
  </si>
  <si>
    <t>_crd_2_etd</t>
  </si>
  <si>
    <t>_po_2_crd</t>
  </si>
  <si>
    <t>_reason_code</t>
  </si>
  <si>
    <t>_nbd_2_crd</t>
  </si>
  <si>
    <t>_nbd_2_eta</t>
  </si>
  <si>
    <t>_spo_invoice_val_aed</t>
  </si>
  <si>
    <t>_avg_lt</t>
  </si>
  <si>
    <t>first part</t>
  </si>
  <si>
    <t>_first_etd_po</t>
  </si>
  <si>
    <t>_first_etd_fo</t>
  </si>
  <si>
    <t>_p2p_value_aed_1</t>
  </si>
  <si>
    <t>_p2p_value_usd_2</t>
  </si>
  <si>
    <t>Pending</t>
  </si>
  <si>
    <t>4e775d04a1ac27d97a33ec9b39407337</t>
  </si>
  <si>
    <t>EMIRATES AIRLINE</t>
  </si>
  <si>
    <t/>
  </si>
  <si>
    <t>IFS Catering Stores</t>
  </si>
  <si>
    <t>CHATSFORD LIMITED</t>
  </si>
  <si>
    <t>419001705-75</t>
  </si>
  <si>
    <t>PREMIUM CLASS HEADSET (LPE-P17NC)</t>
  </si>
  <si>
    <t>BLANKET RELEASE</t>
  </si>
  <si>
    <t>EACH</t>
  </si>
  <si>
    <t>Open</t>
  </si>
  <si>
    <t>FOB</t>
  </si>
  <si>
    <t>Free on Board</t>
  </si>
  <si>
    <t>Final Expected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</si>
</sst>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1" fillId="0" borderId="0" xfId="0" applyFont="1"/>
    <xf numFmtId="0" fontId="0" fillId="0" borderId="0" xfId="0" applyNumberFormat="1"/>
    <xf numFmtId="14" fontId="0" fillId="0" borderId="0" xfId="0" applyNumberFormat="1"/>
    <xf numFmtId="0" fontId="0" fillId="4" borderId="0" xfId="0" applyFill="1"/>
  </cellXfs>
  <cellStyles count="1">
    <cellStyle name="Обычный" xfId="0" builtinId="0"/>
  </cellStyles>
  <dxfs count="1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6F82C6-B38A-4E8F-9CF5-C38EFB499EB2}" autoFormatId="16" applyNumberFormats="0" applyBorderFormats="0" applyFontFormats="0" applyPatternFormats="0" applyAlignmentFormats="0" applyWidthHeightFormats="0">
  <queryTableRefresh nextId="159">
    <queryTableFields count="158">
      <queryTableField id="1" name="_line_type" tableColumnId="1"/>
      <queryTableField id="2" name="_line_id" tableColumnId="2"/>
      <queryTableField id="3" name="_line_no" tableColumnId="3"/>
      <queryTableField id="4" name="_client_id" tableColumnId="4"/>
      <queryTableField id="5" name="_client_name" tableColumnId="5"/>
      <queryTableField id="6" name="_ordered" tableColumnId="6"/>
      <queryTableField id="7" name="_shipped" tableColumnId="7"/>
      <queryTableField id="8" name="_qnty_shipped_remaning" tableColumnId="8"/>
      <queryTableField id="9" name="_inner_qnty_shipped" tableColumnId="9"/>
      <queryTableField id="10" name="_balance_outer_qnty" tableColumnId="10"/>
      <queryTableField id="11" name="_balance_inner_qnty" tableColumnId="11"/>
      <queryTableField id="12" name="_freight_unit_id" tableColumnId="12"/>
      <queryTableField id="13" name="_fo_id" tableColumnId="13"/>
      <queryTableField id="14" name="_fo_serial" tableColumnId="14"/>
      <queryTableField id="15" name="_shipment_link" tableColumnId="15"/>
      <queryTableField id="16" name="_branch_bu" tableColumnId="16"/>
      <queryTableField id="17" name="_supplier_code" tableColumnId="17"/>
      <queryTableField id="18" name="_supplier_name" tableColumnId="18"/>
      <queryTableField id="19" name="_po_no_ekporef" tableColumnId="19"/>
      <queryTableField id="20" name="_po_remarks" tableColumnId="20"/>
      <queryTableField id="21" name="_commodity" tableColumnId="21"/>
      <queryTableField id="22" name="_po_type" tableColumnId="22"/>
      <queryTableField id="23" name="_po_uom" tableColumnId="23"/>
      <queryTableField id="24" name="_units_po_uom" tableColumnId="24"/>
      <queryTableField id="25" name="_po_inner_qnty" tableColumnId="25"/>
      <queryTableField id="26" name="_po_line_status" tableColumnId="26"/>
      <queryTableField id="27" name="_item_code" tableColumnId="27"/>
      <queryTableField id="28" name="_incoterms" tableColumnId="28"/>
      <queryTableField id="29" name="_incoterms_desc" tableColumnId="29"/>
      <queryTableField id="30" name="_pr_appr_date" tableColumnId="30"/>
      <queryTableField id="31" name="_po_app_date" tableColumnId="31"/>
      <queryTableField id="32" name="_po_creation_date" tableColumnId="32"/>
      <queryTableField id="33" name="_po_recd_date" tableColumnId="33"/>
      <queryTableField id="34" name="_po_need_by_date" tableColumnId="34"/>
      <queryTableField id="35" name="_mode" tableColumnId="35"/>
      <queryTableField id="36" name="_routed_by" tableColumnId="36"/>
      <queryTableField id="37" name="_ship_remarks_updates" tableColumnId="37"/>
      <queryTableField id="38" name="_ship_billing_remarks" tableColumnId="38"/>
      <queryTableField id="39" name="_incoterms_fo" tableColumnId="39"/>
      <queryTableField id="40" name="_shipment_serial_iss_job" tableColumnId="40"/>
      <queryTableField id="41" name="_inbound_iss_job_no" tableColumnId="41"/>
      <queryTableField id="42" name="_outbound_iss_job_no" tableColumnId="42"/>
      <queryTableField id="43" name="_hbl_hawb" tableColumnId="43"/>
      <queryTableField id="44" name="_mbl_mawb" tableColumnId="44"/>
      <queryTableField id="45" name="_container_no" tableColumnId="45"/>
      <queryTableField id="46" name="_cbm" tableColumnId="46"/>
      <queryTableField id="47" name="_gw" tableColumnId="47"/>
      <queryTableField id="48" name="_chw" tableColumnId="48"/>
      <queryTableField id="49" name="_qnty" tableColumnId="49"/>
      <queryTableField id="50" name="_eqpt_type" tableColumnId="50"/>
      <queryTableField id="51" name="_pack_type" tableColumnId="51"/>
      <queryTableField id="52" name="_20_ft" tableColumnId="52"/>
      <queryTableField id="53" name="_40_ft" tableColumnId="53"/>
      <queryTableField id="54" name="_count_of_cont" tableColumnId="54"/>
      <queryTableField id="55" name="_teus" tableColumnId="55"/>
      <queryTableField id="56" name="_carrier" tableColumnId="56"/>
      <queryTableField id="57" name="_arrival_date" tableColumnId="57"/>
      <queryTableField id="58" name="_del" tableColumnId="58"/>
      <queryTableField id="59" name="_departure_date" tableColumnId="59"/>
      <queryTableField id="60" name="_departure_date_actual" tableColumnId="60"/>
      <queryTableField id="61" name="_crd_actual" tableColumnId="61"/>
      <queryTableField id="62" name="_crd_estimated" tableColumnId="62"/>
      <queryTableField id="63" name="_crd" tableColumnId="63"/>
      <queryTableField id="64" name="_est_cargo_ready_date" tableColumnId="64"/>
      <queryTableField id="65" name="_goods_cleared_origin" tableColumnId="65"/>
      <queryTableField id="66" name="_goods_cleared_destination" tableColumnId="66"/>
      <queryTableField id="67" name="_pickup_date" tableColumnId="67"/>
      <queryTableField id="68" name="_cargo_ho" tableColumnId="68"/>
      <queryTableField id="69" name="_eta" tableColumnId="69"/>
      <queryTableField id="70" name="_revised_eta" tableColumnId="70"/>
      <queryTableField id="71" name="_eta_wakeo" tableColumnId="71"/>
      <queryTableField id="72" name="_full_eta" tableColumnId="72"/>
      <queryTableField id="73" name="_revised_etd" tableColumnId="73"/>
      <queryTableField id="74" name="_etd_wakeo" tableColumnId="74"/>
      <queryTableField id="75" name="_full_etd" tableColumnId="75"/>
      <queryTableField id="76" name="_first_etd_po" tableColumnId="76"/>
      <queryTableField id="77" name="_current_edd_po" tableColumnId="77"/>
      <queryTableField id="78" name="_first_etd_fo" tableColumnId="78"/>
      <queryTableField id="79" name="_current_edd_fo" tableColumnId="79"/>
      <queryTableField id="80" name="_pod_date" tableColumnId="80"/>
      <queryTableField id="81" name="_do_date" tableColumnId="81"/>
      <queryTableField id="82" name="_do_exp" tableColumnId="82"/>
      <queryTableField id="83" name="_pr_number" tableColumnId="83"/>
      <queryTableField id="84" name="_pr_date" tableColumnId="84"/>
      <queryTableField id="85" name="_req_status" tableColumnId="85"/>
      <queryTableField id="86" name="_spo_number" tableColumnId="86"/>
      <queryTableField id="87" name="_po_status" tableColumnId="87"/>
      <queryTableField id="88" name="_grn_no" tableColumnId="88"/>
      <queryTableField id="89" name="_grn_status" tableColumnId="89"/>
      <queryTableField id="90" name="_addl_po" tableColumnId="90"/>
      <queryTableField id="91" name="_addl_po_grn" tableColumnId="91"/>
      <queryTableField id="92" name="_days_delayed_eta" tableColumnId="92"/>
      <queryTableField id="93" name="_days_delayed_etd" tableColumnId="93"/>
      <queryTableField id="94" name="_etd_2_eta" tableColumnId="94"/>
      <queryTableField id="95" name="_eta_2_del" tableColumnId="95"/>
      <queryTableField id="96" name="_nbd_2_del" tableColumnId="96"/>
      <queryTableField id="97" name="_origin_port_pol" tableColumnId="97"/>
      <queryTableField id="98" name="_delivery_location" tableColumnId="98"/>
      <queryTableField id="99" name="_origin_port_name" tableColumnId="99"/>
      <queryTableField id="100" name="_origin_country" tableColumnId="100"/>
      <queryTableField id="101" name="_origin_region_org_reg" tableColumnId="101"/>
      <queryTableField id="102" name="_destination_port_code_dest" tableColumnId="102"/>
      <queryTableField id="103" name="_destination_port_name_dest" tableColumnId="103"/>
      <queryTableField id="104" name="_destination_country_code_dest" tableColumnId="104"/>
      <queryTableField id="105" name="_destination_country_dest" tableColumnId="105"/>
      <queryTableField id="106" name="_destination_region_reg" tableColumnId="106"/>
      <queryTableField id="107" name="_aux_charge_type" tableColumnId="107"/>
      <queryTableField id="108" name="_aux_charge_form_no" tableColumnId="108"/>
      <queryTableField id="109" name="_org_charges_aed" tableColumnId="109"/>
      <queryTableField id="110" name="_dest_charges_aed" tableColumnId="110"/>
      <queryTableField id="111" name="_frt_charges_aed" tableColumnId="111"/>
      <queryTableField id="112" name="_aux_charges_aed" tableColumnId="112"/>
      <queryTableField id="113" name="_p2p_value_aed" tableColumnId="113"/>
      <queryTableField id="114" name="_total_charges_aed" tableColumnId="114"/>
      <queryTableField id="115" name="_org_charges_usd" tableColumnId="115"/>
      <queryTableField id="116" name="_dest_charges_usd" tableColumnId="116"/>
      <queryTableField id="117" name="_frt_charges_usd" tableColumnId="117"/>
      <queryTableField id="118" name="_aux_charges_usd" tableColumnId="118"/>
      <queryTableField id="119" name="_p2p_value_usd" tableColumnId="119"/>
      <queryTableField id="120" name="_total_charges_usd" tableColumnId="120"/>
      <queryTableField id="121" name="_invoice_no" tableColumnId="121"/>
      <queryTableField id="122" name="_invoice_issue_date" tableColumnId="122"/>
      <queryTableField id="123" name="_addl_issued_invoices" tableColumnId="123"/>
      <queryTableField id="124" name="_addl_invoice_issue_date" tableColumnId="124"/>
      <queryTableField id="125" name="_customs_invoice_aed" tableColumnId="125"/>
      <queryTableField id="126" name="_customs_invoice_usd" tableColumnId="126"/>
      <queryTableField id="127" name="_billing_status" tableColumnId="127"/>
      <queryTableField id="128" name="_days_order_placement_lt" tableColumnId="128"/>
      <queryTableField id="129" name="_days_supplier_production_lt" tableColumnId="129"/>
      <queryTableField id="130" name="_days_custom_clearance_lt" tableColumnId="130"/>
      <queryTableField id="131" name="_days_iss_cont_booking_lt" tableColumnId="131"/>
      <queryTableField id="132" name="_days_transit_lt" tableColumnId="132"/>
      <queryTableField id="133" name="_e2e_total_lt" tableColumnId="133"/>
      <queryTableField id="134" name="_supplier_lead_time" tableColumnId="134"/>
      <queryTableField id="135" name="_country_lead_time" tableColumnId="135"/>
      <queryTableField id="136" name="_ontime_order_placement_perf" tableColumnId="136"/>
      <queryTableField id="137" name="_days_total_comm_perf" tableColumnId="137"/>
      <queryTableField id="138" name="_ship_focus_status" tableColumnId="138"/>
      <queryTableField id="139" name="_pre_alert" tableColumnId="139"/>
      <queryTableField id="140" name="_dn" tableColumnId="140"/>
      <queryTableField id="141" name="_actual_lead" tableColumnId="141"/>
      <queryTableField id="142" name="_health_check" tableColumnId="142"/>
      <queryTableField id="143" name="_status" tableColumnId="143"/>
      <queryTableField id="144" name="_e2e_total_lead_time_perf" tableColumnId="144"/>
      <queryTableField id="145" name="_iss_cont_booking_perf" tableColumnId="145"/>
      <queryTableField id="146" name="_supplier_committed_prod_rdy_perf" tableColumnId="146"/>
      <queryTableField id="147" name="_iss_transit_lead_time_perf" tableColumnId="147"/>
      <queryTableField id="148" name="_iss_custom_clear_perf" tableColumnId="148"/>
      <queryTableField id="149" name="_rdd_eta" tableColumnId="149"/>
      <queryTableField id="150" name="_crd_2_etd" tableColumnId="150"/>
      <queryTableField id="151" name="_po_2_crd" tableColumnId="151"/>
      <queryTableField id="152" name="_reason_code" tableColumnId="152"/>
      <queryTableField id="153" name="_nbd_2_crd" tableColumnId="153"/>
      <queryTableField id="154" name="_nbd_2_eta" tableColumnId="154"/>
      <queryTableField id="155" name="_spo_invoice_val_aed" tableColumnId="155"/>
      <queryTableField id="156" name="_avg_lt" tableColumnId="156"/>
      <queryTableField id="157" name="_p2p_value_aed_1" tableColumnId="157"/>
      <queryTableField id="158" name="_p2p_value_usd_2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8B55B-FD43-4713-ACE5-F67AE8E54091}" name="cols" displayName="cols" ref="A1:FB2" tableType="queryTable" totalsRowShown="0">
  <autoFilter ref="A1:FB2" xr:uid="{65B8B55B-FD43-4713-ACE5-F67AE8E54091}"/>
  <tableColumns count="158">
    <tableColumn id="1" xr3:uid="{3D349614-6EFD-435F-BD63-322FD6C902D6}" uniqueName="1" name="_line_type" queryTableFieldId="1" dataDxfId="134"/>
    <tableColumn id="2" xr3:uid="{668C7BA4-DD22-4507-B9EF-569B17F35715}" uniqueName="2" name="_line_id" queryTableFieldId="2" dataDxfId="133"/>
    <tableColumn id="3" xr3:uid="{B993A45F-C9A7-47CE-AD72-96858DD0D48E}" uniqueName="3" name="_line_no" queryTableFieldId="3"/>
    <tableColumn id="4" xr3:uid="{AD037DD5-2A9C-4FBA-B1EE-C1697F6BCAFF}" uniqueName="4" name="_client_id" queryTableFieldId="4"/>
    <tableColumn id="5" xr3:uid="{28262C3A-3F5E-49A4-8254-CEA0995CBE22}" uniqueName="5" name="_client_name" queryTableFieldId="5" dataDxfId="132"/>
    <tableColumn id="6" xr3:uid="{6D7CC124-3FC6-4AA1-88FC-C36971656785}" uniqueName="6" name="_ordered" queryTableFieldId="6"/>
    <tableColumn id="7" xr3:uid="{4D9DE31A-E9F3-4BD2-9F85-17FF1B65CC6C}" uniqueName="7" name="_shipped" queryTableFieldId="7" dataDxfId="131"/>
    <tableColumn id="8" xr3:uid="{08F14D00-455F-48A4-980C-EB637A8BD049}" uniqueName="8" name="_qnty_shipped_remaning" queryTableFieldId="8" dataDxfId="130"/>
    <tableColumn id="9" xr3:uid="{91B21861-666B-4CA6-938C-69DB538DCA28}" uniqueName="9" name="_inner_qnty_shipped" queryTableFieldId="9" dataDxfId="129"/>
    <tableColumn id="10" xr3:uid="{58978886-F866-4A41-9390-9A48953D27CA}" uniqueName="10" name="_balance_outer_qnty" queryTableFieldId="10"/>
    <tableColumn id="11" xr3:uid="{3ACF1AD7-3EAB-4E4D-BFC2-27B3DA24A527}" uniqueName="11" name="_balance_inner_qnty" queryTableFieldId="11"/>
    <tableColumn id="12" xr3:uid="{75BFA9A4-A6AE-4B09-BA03-40074B2B948D}" uniqueName="12" name="_freight_unit_id" queryTableFieldId="12"/>
    <tableColumn id="13" xr3:uid="{F5E3ACAB-E9B7-4DE7-8CA2-15C4E22CB390}" uniqueName="13" name="_fo_id" queryTableFieldId="13"/>
    <tableColumn id="14" xr3:uid="{AA591CD7-C62F-47D4-A557-EDC1E7E4F57B}" uniqueName="14" name="_fo_serial" queryTableFieldId="14" dataDxfId="128"/>
    <tableColumn id="15" xr3:uid="{EADD4822-23DE-4085-AEBA-E7F7D9AA50DE}" uniqueName="15" name="_shipment_link" queryTableFieldId="15" dataDxfId="127"/>
    <tableColumn id="16" xr3:uid="{EA5FC465-CD9A-41DE-A78A-9BF4E99556B9}" uniqueName="16" name="_branch_bu" queryTableFieldId="16" dataDxfId="126"/>
    <tableColumn id="17" xr3:uid="{1B1FE27B-4DF0-4E15-B3EC-E819623803FD}" uniqueName="17" name="_supplier_code" queryTableFieldId="17"/>
    <tableColumn id="18" xr3:uid="{41468816-C00F-4F5E-8A38-F3FC9EF22A47}" uniqueName="18" name="_supplier_name" queryTableFieldId="18" dataDxfId="125"/>
    <tableColumn id="19" xr3:uid="{152F8DB4-9865-4960-B07D-419ABFE0B8C3}" uniqueName="19" name="_po_no_ekporef" queryTableFieldId="19" dataDxfId="124"/>
    <tableColumn id="20" xr3:uid="{1442E527-55BB-4B1E-8B30-0BAE1CAD0C26}" uniqueName="20" name="_po_remarks" queryTableFieldId="20" dataDxfId="123"/>
    <tableColumn id="21" xr3:uid="{3F7106F8-511C-494D-B519-0D7ACAE3C3E6}" uniqueName="21" name="_commodity" queryTableFieldId="21" dataDxfId="122"/>
    <tableColumn id="22" xr3:uid="{0169EEC4-CE99-4393-8A09-8B2FE24A7D2A}" uniqueName="22" name="_po_type" queryTableFieldId="22" dataDxfId="121"/>
    <tableColumn id="23" xr3:uid="{9C438157-D6EE-4DC9-944E-6B43FD0D1FE8}" uniqueName="23" name="_po_uom" queryTableFieldId="23" dataDxfId="120"/>
    <tableColumn id="24" xr3:uid="{3D50C87E-1895-4D86-855D-BD4C2E068F9C}" uniqueName="24" name="_units_po_uom" queryTableFieldId="24"/>
    <tableColumn id="25" xr3:uid="{A8D6B452-0B76-47DB-9408-57DD1561A984}" uniqueName="25" name="_po_inner_qnty" queryTableFieldId="25"/>
    <tableColumn id="26" xr3:uid="{1C67C72A-5C24-41A1-9A83-69A016047C76}" uniqueName="26" name="_po_line_status" queryTableFieldId="26" dataDxfId="119"/>
    <tableColumn id="27" xr3:uid="{B089C87C-B9E8-4B87-B20F-6ABF04D6DC02}" uniqueName="27" name="_item_code" queryTableFieldId="27"/>
    <tableColumn id="28" xr3:uid="{7EF4C3F0-2A51-42F8-8DCD-D4F2F034EB2F}" uniqueName="28" name="_incoterms" queryTableFieldId="28" dataDxfId="118"/>
    <tableColumn id="29" xr3:uid="{5A281822-5C6F-4DB4-AAE5-E2807F904F62}" uniqueName="29" name="_incoterms_desc" queryTableFieldId="29" dataDxfId="117"/>
    <tableColumn id="30" xr3:uid="{9549D1D9-DE14-4BCF-A73A-BF1CE9362268}" uniqueName="30" name="_pr_appr_date" queryTableFieldId="30" dataDxfId="116"/>
    <tableColumn id="31" xr3:uid="{40BBADBD-6C69-4EBD-A955-1FC01BCC90F6}" uniqueName="31" name="_po_app_date" queryTableFieldId="31" dataDxfId="115"/>
    <tableColumn id="32" xr3:uid="{B6809955-9899-4A8A-BF22-89DC81172383}" uniqueName="32" name="_po_creation_date" queryTableFieldId="32" dataDxfId="114"/>
    <tableColumn id="33" xr3:uid="{70981E0D-1173-4C46-A2B7-0EA2FC0C12E0}" uniqueName="33" name="_po_recd_date" queryTableFieldId="33" dataDxfId="113"/>
    <tableColumn id="34" xr3:uid="{BF49FF4D-8ED5-4C10-BDEC-2D3B6E83F29D}" uniqueName="34" name="_po_need_by_date" queryTableFieldId="34" dataDxfId="112"/>
    <tableColumn id="35" xr3:uid="{29121739-D16A-41A0-ABD3-0DC94C689B68}" uniqueName="35" name="_mode" queryTableFieldId="35" dataDxfId="111"/>
    <tableColumn id="36" xr3:uid="{BD4623C2-D9A8-44C2-9D68-5313FF6D7C06}" uniqueName="36" name="_routed_by" queryTableFieldId="36" dataDxfId="110"/>
    <tableColumn id="37" xr3:uid="{57E1D3B0-AA03-43B9-AA8A-89BBD86F75B5}" uniqueName="37" name="_ship_remarks_updates" queryTableFieldId="37" dataDxfId="109"/>
    <tableColumn id="38" xr3:uid="{1BB04250-68B5-43A7-89AD-4832D8D3998C}" uniqueName="38" name="_ship_billing_remarks" queryTableFieldId="38" dataDxfId="108"/>
    <tableColumn id="39" xr3:uid="{0B89D70C-E1F0-4D69-A908-0057A87BF68C}" uniqueName="39" name="_incoterms_fo" queryTableFieldId="39" dataDxfId="107"/>
    <tableColumn id="40" xr3:uid="{39433B50-4FAD-4405-9A0A-B610DBC4ABA1}" uniqueName="40" name="_shipment_serial_iss_job" queryTableFieldId="40" dataDxfId="106"/>
    <tableColumn id="41" xr3:uid="{643871A9-9A79-4FE5-8BC6-E3AB2C796E78}" uniqueName="41" name="_inbound_iss_job_no" queryTableFieldId="41" dataDxfId="105"/>
    <tableColumn id="42" xr3:uid="{AD092591-C2D0-41E1-9112-CFAA331C5203}" uniqueName="42" name="_outbound_iss_job_no" queryTableFieldId="42" dataDxfId="104"/>
    <tableColumn id="43" xr3:uid="{B364132C-4F96-46C5-83C8-249F332B2252}" uniqueName="43" name="_hbl_hawb" queryTableFieldId="43" dataDxfId="103"/>
    <tableColumn id="44" xr3:uid="{E1402880-F450-4A22-80CF-6343B00D34D6}" uniqueName="44" name="_mbl_mawb" queryTableFieldId="44" dataDxfId="102"/>
    <tableColumn id="45" xr3:uid="{ABDEB6C9-CA2A-4BED-8973-D6B805D35F7C}" uniqueName="45" name="_container_no" queryTableFieldId="45" dataDxfId="101"/>
    <tableColumn id="46" xr3:uid="{D1295BE3-A4A2-40E2-A8F4-03B3D80161BE}" uniqueName="46" name="_cbm" queryTableFieldId="46" dataDxfId="100"/>
    <tableColumn id="47" xr3:uid="{614FF1A4-E858-45FB-9437-4894CB55A428}" uniqueName="47" name="_gw" queryTableFieldId="47" dataDxfId="99"/>
    <tableColumn id="48" xr3:uid="{DBDE9FEC-AF01-45A8-A85E-4542B36F4645}" uniqueName="48" name="_chw" queryTableFieldId="48" dataDxfId="98"/>
    <tableColumn id="49" xr3:uid="{99E26E91-09B7-495E-B7A3-26EEF124E223}" uniqueName="49" name="_qnty" queryTableFieldId="49" dataDxfId="97"/>
    <tableColumn id="50" xr3:uid="{C13153E1-D822-40EF-B88E-30C6CB4EFF4C}" uniqueName="50" name="_eqpt_type" queryTableFieldId="50" dataDxfId="96"/>
    <tableColumn id="51" xr3:uid="{539E8B18-3400-48FC-BD79-32035C797354}" uniqueName="51" name="_pack_type" queryTableFieldId="51" dataDxfId="95"/>
    <tableColumn id="52" xr3:uid="{894B9A90-053D-4D67-8B50-C919F9CFECE6}" uniqueName="52" name="_20_ft" queryTableFieldId="52" dataDxfId="94"/>
    <tableColumn id="53" xr3:uid="{CC8EFD9F-0FD9-4EE1-BE83-F7C1E2DF8A22}" uniqueName="53" name="_40_ft" queryTableFieldId="53" dataDxfId="93"/>
    <tableColumn id="54" xr3:uid="{13E99451-885C-450C-BA62-5DE864D7706C}" uniqueName="54" name="_count_of_cont" queryTableFieldId="54" dataDxfId="92"/>
    <tableColumn id="55" xr3:uid="{198F0B05-5046-4BEE-BA50-BAB1CDF8DFA8}" uniqueName="55" name="_teus" queryTableFieldId="55" dataDxfId="91"/>
    <tableColumn id="56" xr3:uid="{ED46FC06-36E0-4656-88B9-36622D68A2B6}" uniqueName="56" name="_carrier" queryTableFieldId="56" dataDxfId="90"/>
    <tableColumn id="57" xr3:uid="{721DFF02-5EE2-4EA6-90C3-B38FA3A1320D}" uniqueName="57" name="_arrival_date" queryTableFieldId="57" dataDxfId="89"/>
    <tableColumn id="58" xr3:uid="{FB087830-F0C7-41C8-821D-D6D41F3311E3}" uniqueName="58" name="_del" queryTableFieldId="58" dataDxfId="88"/>
    <tableColumn id="59" xr3:uid="{E106B3CA-6FE9-4E37-AAE4-56CE959ED8BA}" uniqueName="59" name="_departure_date" queryTableFieldId="59" dataDxfId="87"/>
    <tableColumn id="60" xr3:uid="{47D769B7-E45C-4817-9DF2-EC064DD0BE59}" uniqueName="60" name="_departure_date_actual" queryTableFieldId="60" dataDxfId="86"/>
    <tableColumn id="61" xr3:uid="{AFF3CDB9-BC57-44A0-909A-7324F5FF8822}" uniqueName="61" name="_crd_actual" queryTableFieldId="61" dataDxfId="85"/>
    <tableColumn id="62" xr3:uid="{B7733975-B0D3-4DBE-865D-7471C42CD9C0}" uniqueName="62" name="_crd_estimated" queryTableFieldId="62" dataDxfId="84"/>
    <tableColumn id="63" xr3:uid="{635D5D2B-11C6-4B31-AB45-81259292B1DE}" uniqueName="63" name="_crd" queryTableFieldId="63" dataDxfId="83"/>
    <tableColumn id="64" xr3:uid="{DC35DF15-8C2F-4477-916B-ABE73F11DD0A}" uniqueName="64" name="_est_cargo_ready_date" queryTableFieldId="64" dataDxfId="82"/>
    <tableColumn id="65" xr3:uid="{E0670F29-3B4E-4088-9C4B-F177FA262E91}" uniqueName="65" name="_goods_cleared_origin" queryTableFieldId="65" dataDxfId="81"/>
    <tableColumn id="66" xr3:uid="{24FD49B7-A265-424B-9B33-9DB75F17C730}" uniqueName="66" name="_goods_cleared_destination" queryTableFieldId="66" dataDxfId="80"/>
    <tableColumn id="67" xr3:uid="{AF3BC1F1-8402-42F8-B17A-E6939F2A3A9B}" uniqueName="67" name="_pickup_date" queryTableFieldId="67" dataDxfId="79"/>
    <tableColumn id="68" xr3:uid="{C23F5CFE-5E11-42DC-A0DE-5548D0F23FE6}" uniqueName="68" name="_cargo_ho" queryTableFieldId="68" dataDxfId="78"/>
    <tableColumn id="69" xr3:uid="{8649F4E8-EF5D-48D2-A803-49A4F1CF2946}" uniqueName="69" name="_eta" queryTableFieldId="69" dataDxfId="77"/>
    <tableColumn id="70" xr3:uid="{82DAF030-2BE1-4450-B254-A6B816CCE8AC}" uniqueName="70" name="_revised_eta" queryTableFieldId="70" dataDxfId="76"/>
    <tableColumn id="71" xr3:uid="{E78CAC32-5072-4957-A205-A62646806351}" uniqueName="71" name="_eta_wakeo" queryTableFieldId="71" dataDxfId="75"/>
    <tableColumn id="72" xr3:uid="{05FF7B1D-D351-4A3D-8223-45D107454EEA}" uniqueName="72" name="_full_eta" queryTableFieldId="72" dataDxfId="74"/>
    <tableColumn id="73" xr3:uid="{11B5392C-906A-42FE-9153-1F635565A0C8}" uniqueName="73" name="_revised_etd" queryTableFieldId="73" dataDxfId="73"/>
    <tableColumn id="74" xr3:uid="{836648F0-4F49-4F44-93F1-53DD30B06242}" uniqueName="74" name="_etd_wakeo" queryTableFieldId="74" dataDxfId="72"/>
    <tableColumn id="75" xr3:uid="{05A7CDC4-DC6D-43AC-8172-DF5D493FDD62}" uniqueName="75" name="_full_etd" queryTableFieldId="75" dataDxfId="71"/>
    <tableColumn id="76" xr3:uid="{712918CB-FC4B-46FA-8B1E-6C3B8E6DB13C}" uniqueName="76" name="_first_etd_po" queryTableFieldId="76" dataDxfId="70"/>
    <tableColumn id="77" xr3:uid="{A829D8B0-54AC-4235-80F9-D9FF2DD2A9B6}" uniqueName="77" name="_current_edd_po" queryTableFieldId="77" dataDxfId="69"/>
    <tableColumn id="78" xr3:uid="{84018203-3FEA-4675-9979-5DAAB56713C2}" uniqueName="78" name="_first_etd_fo" queryTableFieldId="78" dataDxfId="68"/>
    <tableColumn id="79" xr3:uid="{E433700F-EEFA-41A0-A690-4F8BFD223891}" uniqueName="79" name="_current_edd_fo" queryTableFieldId="79" dataDxfId="67"/>
    <tableColumn id="80" xr3:uid="{2806EC83-FFB5-410F-A527-7B4485AF7FE2}" uniqueName="80" name="_pod_date" queryTableFieldId="80" dataDxfId="66"/>
    <tableColumn id="81" xr3:uid="{8AF5D576-EA25-4580-9ECC-F81363A7CDB6}" uniqueName="81" name="_do_date" queryTableFieldId="81" dataDxfId="65"/>
    <tableColumn id="82" xr3:uid="{04BC5F5E-3312-4C6A-8E92-2BAB782009C6}" uniqueName="82" name="_do_exp" queryTableFieldId="82" dataDxfId="64"/>
    <tableColumn id="83" xr3:uid="{03C1E2A9-6364-438D-A1C0-81DF2BE2D079}" uniqueName="83" name="_pr_number" queryTableFieldId="83" dataDxfId="63"/>
    <tableColumn id="84" xr3:uid="{E78248FB-6673-4AA8-B13D-FB9CA1B050A4}" uniqueName="84" name="_pr_date" queryTableFieldId="84" dataDxfId="62"/>
    <tableColumn id="85" xr3:uid="{598EDC23-2D63-4B54-BFCC-1CA5ADD3E290}" uniqueName="85" name="_req_status" queryTableFieldId="85" dataDxfId="61"/>
    <tableColumn id="86" xr3:uid="{4FFBF2B4-5407-4B6C-A60D-B8B8C4E66373}" uniqueName="86" name="_spo_number" queryTableFieldId="86" dataDxfId="60"/>
    <tableColumn id="87" xr3:uid="{2D502698-BA92-4B9F-8CEC-C5CA5FB43858}" uniqueName="87" name="_po_status" queryTableFieldId="87" dataDxfId="59"/>
    <tableColumn id="88" xr3:uid="{FF9DAB00-22CD-4AB7-876B-9C7240161E28}" uniqueName="88" name="_grn_no" queryTableFieldId="88" dataDxfId="58"/>
    <tableColumn id="89" xr3:uid="{6FC0F4C3-DF3D-4432-900C-49731BCFAAF9}" uniqueName="89" name="_grn_status" queryTableFieldId="89" dataDxfId="57"/>
    <tableColumn id="90" xr3:uid="{97C8853C-22FD-4AB7-86DC-13A205150550}" uniqueName="90" name="_addl_po" queryTableFieldId="90" dataDxfId="56"/>
    <tableColumn id="91" xr3:uid="{6D40C8D9-A603-429E-8903-B190D91F8814}" uniqueName="91" name="_addl_po_grn" queryTableFieldId="91" dataDxfId="55"/>
    <tableColumn id="92" xr3:uid="{EEBD6C1A-2A7F-4E36-BEBB-CD0CCB3E0FC0}" uniqueName="92" name="_days_delayed_eta" queryTableFieldId="92" dataDxfId="54"/>
    <tableColumn id="93" xr3:uid="{1250FCB3-DA50-4CF8-A502-4A4AF6404782}" uniqueName="93" name="_days_delayed_etd" queryTableFieldId="93" dataDxfId="53"/>
    <tableColumn id="94" xr3:uid="{EEB1CA40-698C-44AA-B132-29F1CF37D5B8}" uniqueName="94" name="_etd_2_eta" queryTableFieldId="94" dataDxfId="52"/>
    <tableColumn id="95" xr3:uid="{7850824C-915A-4761-968F-BBE1133EF80A}" uniqueName="95" name="_eta_2_del" queryTableFieldId="95" dataDxfId="51"/>
    <tableColumn id="96" xr3:uid="{20BB6FC2-5C51-4718-B851-2BBABC50204F}" uniqueName="96" name="_nbd_2_del" queryTableFieldId="96" dataDxfId="50"/>
    <tableColumn id="97" xr3:uid="{FBF1205D-50E5-4C7B-AAFC-B668F53BE76A}" uniqueName="97" name="_origin_port_pol" queryTableFieldId="97" dataDxfId="49"/>
    <tableColumn id="98" xr3:uid="{A47A1CD8-394D-46C3-9D64-61281556335B}" uniqueName="98" name="_delivery_location" queryTableFieldId="98" dataDxfId="48"/>
    <tableColumn id="99" xr3:uid="{9308AE5D-FE8B-4D09-BCD5-F1D2EED459A3}" uniqueName="99" name="_origin_port_name" queryTableFieldId="99" dataDxfId="47"/>
    <tableColumn id="100" xr3:uid="{649A59E2-0865-46D8-9855-4085C719A78C}" uniqueName="100" name="_origin_country" queryTableFieldId="100" dataDxfId="46"/>
    <tableColumn id="101" xr3:uid="{B4C8A3AD-1AC9-4465-B665-9E3FA5B100DA}" uniqueName="101" name="_origin_region_org_reg" queryTableFieldId="101" dataDxfId="45"/>
    <tableColumn id="102" xr3:uid="{90DB9E13-0613-471A-BEE3-1623046A0E28}" uniqueName="102" name="_destination_port_code_dest" queryTableFieldId="102" dataDxfId="44"/>
    <tableColumn id="103" xr3:uid="{BC7E07EB-89E5-4D96-AD47-CB1594594DC1}" uniqueName="103" name="_destination_port_name_dest" queryTableFieldId="103" dataDxfId="43"/>
    <tableColumn id="104" xr3:uid="{3D20E583-48FD-4BD3-B461-267208B36696}" uniqueName="104" name="_destination_country_code_dest" queryTableFieldId="104" dataDxfId="42"/>
    <tableColumn id="105" xr3:uid="{EF91DB20-CBA8-46EC-93D7-9CEB48AC9B40}" uniqueName="105" name="_destination_country_dest" queryTableFieldId="105" dataDxfId="41"/>
    <tableColumn id="106" xr3:uid="{2D4E3CC7-D794-4535-93F1-E9C9ABE4803D}" uniqueName="106" name="_destination_region_reg" queryTableFieldId="106" dataDxfId="40"/>
    <tableColumn id="107" xr3:uid="{73524197-DC82-468E-AF23-01EF8D65C641}" uniqueName="107" name="_aux_charge_type" queryTableFieldId="107" dataDxfId="39"/>
    <tableColumn id="108" xr3:uid="{35026961-EF86-4EF1-B5B7-38775AF9A62C}" uniqueName="108" name="_aux_charge_form_no" queryTableFieldId="108" dataDxfId="38"/>
    <tableColumn id="109" xr3:uid="{63D9C0E2-5E61-4523-A3F1-7812CA979941}" uniqueName="109" name="_org_charges_aed" queryTableFieldId="109" dataDxfId="37"/>
    <tableColumn id="110" xr3:uid="{2019651E-3A37-4FF9-A17B-A863E7716A4D}" uniqueName="110" name="_dest_charges_aed" queryTableFieldId="110" dataDxfId="36"/>
    <tableColumn id="111" xr3:uid="{D757247C-4551-4E82-B572-F62992884AF4}" uniqueName="111" name="_frt_charges_aed" queryTableFieldId="111" dataDxfId="35"/>
    <tableColumn id="112" xr3:uid="{3D1652B0-C83B-416E-85EC-35D6FD3850E8}" uniqueName="112" name="_aux_charges_aed" queryTableFieldId="112" dataDxfId="34"/>
    <tableColumn id="113" xr3:uid="{1B3CBB6A-F923-4489-BFF8-EF25EA95A1EE}" uniqueName="113" name="_p2p_value_aed" queryTableFieldId="113" dataDxfId="33"/>
    <tableColumn id="114" xr3:uid="{BF5955D0-80D5-44FF-A4D5-40E5A76C97C3}" uniqueName="114" name="_total_charges_aed" queryTableFieldId="114" dataDxfId="32"/>
    <tableColumn id="115" xr3:uid="{94D70607-8A0C-448B-92AB-1758ED69E5D0}" uniqueName="115" name="_org_charges_usd" queryTableFieldId="115" dataDxfId="31"/>
    <tableColumn id="116" xr3:uid="{F1660A0B-4F3B-4DD9-9B54-CAC9D25C0E1D}" uniqueName="116" name="_dest_charges_usd" queryTableFieldId="116" dataDxfId="30"/>
    <tableColumn id="117" xr3:uid="{38F71C58-0B8C-41DC-B175-B1E59FE5F1B5}" uniqueName="117" name="_frt_charges_usd" queryTableFieldId="117" dataDxfId="29"/>
    <tableColumn id="118" xr3:uid="{02B5F1FB-445F-4119-BB9E-BF708CE72EF4}" uniqueName="118" name="_aux_charges_usd" queryTableFieldId="118" dataDxfId="28"/>
    <tableColumn id="119" xr3:uid="{C1FDA84F-2047-418B-9F9C-72308FA33FEE}" uniqueName="119" name="_p2p_value_usd" queryTableFieldId="119" dataDxfId="27"/>
    <tableColumn id="120" xr3:uid="{C60AC7A9-F58B-4A86-A5E3-93FBCF23F262}" uniqueName="120" name="_total_charges_usd" queryTableFieldId="120" dataDxfId="26"/>
    <tableColumn id="121" xr3:uid="{D0E1CC7E-1564-4758-8504-A5FF88E47038}" uniqueName="121" name="_invoice_no" queryTableFieldId="121" dataDxfId="25"/>
    <tableColumn id="122" xr3:uid="{D8CA68E8-2AAF-441C-94D6-201DEEBE76DD}" uniqueName="122" name="_invoice_issue_date" queryTableFieldId="122" dataDxfId="24"/>
    <tableColumn id="123" xr3:uid="{C98AA003-0A8B-4B3B-BBB2-FB3508C46A51}" uniqueName="123" name="_addl_issued_invoices" queryTableFieldId="123" dataDxfId="23"/>
    <tableColumn id="124" xr3:uid="{33F51745-6D79-4C07-B7ED-A75488D6F8D5}" uniqueName="124" name="_addl_invoice_issue_date" queryTableFieldId="124" dataDxfId="22"/>
    <tableColumn id="125" xr3:uid="{C7993EFD-B9BD-410A-923F-6C8E30FE5A52}" uniqueName="125" name="_customs_invoice_aed" queryTableFieldId="125" dataDxfId="21"/>
    <tableColumn id="126" xr3:uid="{A9C2A656-4573-496E-AA69-7342A897DB38}" uniqueName="126" name="_customs_invoice_usd" queryTableFieldId="126" dataDxfId="20"/>
    <tableColumn id="127" xr3:uid="{BF5C87CA-84CA-4ECA-935B-D55357F422E9}" uniqueName="127" name="_billing_status" queryTableFieldId="127" dataDxfId="19"/>
    <tableColumn id="128" xr3:uid="{61A25919-8CE8-477F-96A3-FCD3F22F895F}" uniqueName="128" name="_days_order_placement_lt" queryTableFieldId="128"/>
    <tableColumn id="129" xr3:uid="{CA2AB2DB-2C74-45B3-B5FD-212C973EC375}" uniqueName="129" name="_days_supplier_production_lt" queryTableFieldId="129"/>
    <tableColumn id="130" xr3:uid="{DDB43A9D-F47B-4EE1-8F4B-9955A0036C54}" uniqueName="130" name="_days_custom_clearance_lt" queryTableFieldId="130"/>
    <tableColumn id="131" xr3:uid="{57B0404B-26B9-42C8-9377-8C5C0164B28B}" uniqueName="131" name="_days_iss_cont_booking_lt" queryTableFieldId="131"/>
    <tableColumn id="132" xr3:uid="{D3D1480A-E1F3-48FE-A7BA-E8A29CD88C09}" uniqueName="132" name="_days_transit_lt" queryTableFieldId="132"/>
    <tableColumn id="133" xr3:uid="{2BA47E0F-2B16-4176-B70F-DE68AB1C718B}" uniqueName="133" name="_e2e_total_lt" queryTableFieldId="133"/>
    <tableColumn id="134" xr3:uid="{6CE8C113-FA7C-47B4-AC73-38B2276E9359}" uniqueName="134" name="_supplier_lead_time" queryTableFieldId="134" dataDxfId="18"/>
    <tableColumn id="135" xr3:uid="{DB3A3EF1-9559-478C-8F84-C0216DCDA077}" uniqueName="135" name="_country_lead_time" queryTableFieldId="135" dataDxfId="17"/>
    <tableColumn id="136" xr3:uid="{68840998-EC1D-44E4-B42C-A917E332BE4C}" uniqueName="136" name="_ontime_order_placement_perf" queryTableFieldId="136"/>
    <tableColumn id="137" xr3:uid="{5E55178E-E6E0-489A-9FFB-74B7D57CD9E1}" uniqueName="137" name="_days_total_comm_perf" queryTableFieldId="137" dataDxfId="16"/>
    <tableColumn id="138" xr3:uid="{46640F09-E4A7-42E1-A686-02399B9C4554}" uniqueName="138" name="_ship_focus_status" queryTableFieldId="138" dataDxfId="15"/>
    <tableColumn id="139" xr3:uid="{50795827-DA0B-4182-838E-70B7DB5040AF}" uniqueName="139" name="_pre_alert" queryTableFieldId="139" dataDxfId="14"/>
    <tableColumn id="140" xr3:uid="{16D6BB22-534D-4F5E-9270-3520AF8FC831}" uniqueName="140" name="_dn" queryTableFieldId="140" dataDxfId="13"/>
    <tableColumn id="141" xr3:uid="{9F94EBCB-1868-455D-9505-D00B328C71B9}" uniqueName="141" name="_actual_lead" queryTableFieldId="141" dataDxfId="12"/>
    <tableColumn id="142" xr3:uid="{D54EB979-AAB2-4DF8-89B4-83B934E4075B}" uniqueName="142" name="_health_check" queryTableFieldId="142" dataDxfId="11"/>
    <tableColumn id="143" xr3:uid="{A8F99AA4-6131-4B29-8593-11E2CC985B01}" uniqueName="143" name="_status" queryTableFieldId="143" dataDxfId="10"/>
    <tableColumn id="144" xr3:uid="{271B551B-117C-4447-AEDD-3BB1E38ABFC8}" uniqueName="144" name="_e2e_total_lead_time_perf" queryTableFieldId="144"/>
    <tableColumn id="145" xr3:uid="{78663622-AC2F-4207-AF88-0C202EF9C1D0}" uniqueName="145" name="_iss_cont_booking_perf" queryTableFieldId="145"/>
    <tableColumn id="146" xr3:uid="{E8C7EB0A-A5EA-4494-9966-BC4EF3C04E49}" uniqueName="146" name="_supplier_committed_prod_rdy_perf" queryTableFieldId="146"/>
    <tableColumn id="147" xr3:uid="{AE3873E1-2E11-4C63-A464-E3B8D6DA9B30}" uniqueName="147" name="_iss_transit_lead_time_perf" queryTableFieldId="147"/>
    <tableColumn id="148" xr3:uid="{59443F84-E22C-427D-B2D9-C4706BCCD385}" uniqueName="148" name="_iss_custom_clear_perf" queryTableFieldId="148"/>
    <tableColumn id="149" xr3:uid="{F2C39F9E-2A29-4B18-B056-DB0DE29D5B27}" uniqueName="149" name="_rdd_eta" queryTableFieldId="149" dataDxfId="9"/>
    <tableColumn id="150" xr3:uid="{A9A2F385-C6FA-4648-B260-E1F03AE962C4}" uniqueName="150" name="_crd_2_etd" queryTableFieldId="150" dataDxfId="8"/>
    <tableColumn id="151" xr3:uid="{A5A83523-4E79-4600-975B-E43D9E3DB292}" uniqueName="151" name="_po_2_crd" queryTableFieldId="151" dataDxfId="7"/>
    <tableColumn id="152" xr3:uid="{4AFEB1A7-6997-4D8B-8E7A-8C942FA0CD7E}" uniqueName="152" name="_reason_code" queryTableFieldId="152" dataDxfId="6"/>
    <tableColumn id="153" xr3:uid="{8126D5CB-389B-44B6-B0C0-47D45C4CA453}" uniqueName="153" name="_nbd_2_crd" queryTableFieldId="153" dataDxfId="5"/>
    <tableColumn id="154" xr3:uid="{8C392466-8154-4A4E-B1F1-4D500CA4E907}" uniqueName="154" name="_nbd_2_eta" queryTableFieldId="154" dataDxfId="4"/>
    <tableColumn id="155" xr3:uid="{C4317DD5-AA3E-4DC9-AC7C-EAF1CC261F86}" uniqueName="155" name="_spo_invoice_val_aed" queryTableFieldId="155" dataDxfId="3"/>
    <tableColumn id="156" xr3:uid="{9B991D7C-8DAA-4B78-BEE4-B5B612B845D1}" uniqueName="156" name="_avg_lt" queryTableFieldId="156" dataDxfId="2"/>
    <tableColumn id="157" xr3:uid="{7D4E57BE-5A5C-4214-9C16-B3B26A7A10F4}" uniqueName="157" name="_p2p_value_aed_1" queryTableFieldId="157" dataDxfId="1"/>
    <tableColumn id="158" xr3:uid="{2994F4AA-614E-4E4F-8B02-6AB936B769F0}" uniqueName="158" name="_p2p_value_usd_2" queryTableFieldId="15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177B-4E86-4E40-9877-29F3F99502AB}">
  <dimension ref="G6:Q22"/>
  <sheetViews>
    <sheetView tabSelected="1" topLeftCell="C1" zoomScaleNormal="100" workbookViewId="0">
      <selection activeCell="Q6" sqref="Q6"/>
    </sheetView>
  </sheetViews>
  <sheetFormatPr defaultRowHeight="14.5" x14ac:dyDescent="0.35"/>
  <cols>
    <col min="10" max="10" width="10.26953125" bestFit="1" customWidth="1"/>
    <col min="11" max="11" width="10.7265625" bestFit="1" customWidth="1"/>
    <col min="12" max="12" width="10.7265625" customWidth="1"/>
    <col min="13" max="15" width="10.08984375" bestFit="1" customWidth="1"/>
    <col min="16" max="16" width="11.54296875" bestFit="1" customWidth="1"/>
    <col min="17" max="17" width="26.08984375" bestFit="1" customWidth="1"/>
  </cols>
  <sheetData>
    <row r="6" spans="8:17" x14ac:dyDescent="0.35">
      <c r="J6" t="s">
        <v>10</v>
      </c>
      <c r="K6" t="s">
        <v>11</v>
      </c>
      <c r="L6" t="s">
        <v>14</v>
      </c>
      <c r="M6" t="s">
        <v>8</v>
      </c>
      <c r="N6" t="s">
        <v>5</v>
      </c>
      <c r="O6" t="s">
        <v>6</v>
      </c>
      <c r="P6" t="s">
        <v>7</v>
      </c>
      <c r="Q6" t="s">
        <v>195</v>
      </c>
    </row>
    <row r="7" spans="8:17" x14ac:dyDescent="0.35">
      <c r="H7" s="8" t="s">
        <v>0</v>
      </c>
      <c r="I7" s="8" t="s">
        <v>2</v>
      </c>
      <c r="J7" s="8">
        <v>100</v>
      </c>
      <c r="K7" s="8">
        <v>50</v>
      </c>
      <c r="L7" s="8"/>
      <c r="N7" s="1">
        <v>46034</v>
      </c>
      <c r="O7" s="1">
        <v>46037</v>
      </c>
      <c r="P7" s="1">
        <v>46038</v>
      </c>
    </row>
    <row r="8" spans="8:17" x14ac:dyDescent="0.35">
      <c r="H8" s="8" t="s">
        <v>0</v>
      </c>
      <c r="I8" s="8" t="s">
        <v>3</v>
      </c>
      <c r="J8" s="8">
        <v>100</v>
      </c>
      <c r="K8" s="8">
        <v>50</v>
      </c>
      <c r="L8" s="8"/>
      <c r="M8" s="1"/>
      <c r="N8" s="1">
        <v>46035</v>
      </c>
      <c r="O8" s="1">
        <v>46038</v>
      </c>
      <c r="P8" s="1">
        <v>46038</v>
      </c>
    </row>
    <row r="9" spans="8:17" x14ac:dyDescent="0.35">
      <c r="H9" s="2" t="s">
        <v>1</v>
      </c>
      <c r="I9" s="2" t="s">
        <v>4</v>
      </c>
      <c r="J9" s="2">
        <v>200</v>
      </c>
      <c r="K9" s="2">
        <v>100</v>
      </c>
      <c r="L9" s="2"/>
      <c r="M9" s="1"/>
      <c r="N9" s="3">
        <v>46036</v>
      </c>
      <c r="O9" s="3">
        <v>46039</v>
      </c>
      <c r="P9" s="3"/>
    </row>
    <row r="17" spans="7:17" x14ac:dyDescent="0.35">
      <c r="G17" t="s">
        <v>17</v>
      </c>
    </row>
    <row r="18" spans="7:17" x14ac:dyDescent="0.35">
      <c r="H18" t="s">
        <v>0</v>
      </c>
      <c r="J18">
        <v>100</v>
      </c>
      <c r="M18" s="1">
        <v>46069</v>
      </c>
      <c r="Q18" s="4" t="s">
        <v>12</v>
      </c>
    </row>
    <row r="19" spans="7:17" x14ac:dyDescent="0.35">
      <c r="H19" t="s">
        <v>1</v>
      </c>
      <c r="I19" t="s">
        <v>2</v>
      </c>
      <c r="J19">
        <v>100</v>
      </c>
      <c r="K19">
        <v>100</v>
      </c>
      <c r="M19" s="1">
        <v>46069</v>
      </c>
      <c r="Q19" t="s">
        <v>13</v>
      </c>
    </row>
    <row r="20" spans="7:17" x14ac:dyDescent="0.35">
      <c r="H20" s="2" t="s">
        <v>9</v>
      </c>
      <c r="I20" s="2" t="s">
        <v>3</v>
      </c>
      <c r="J20" s="2">
        <v>100</v>
      </c>
      <c r="K20" s="2">
        <v>50</v>
      </c>
      <c r="L20" s="2"/>
      <c r="M20" s="3">
        <v>46067</v>
      </c>
      <c r="N20" s="2"/>
      <c r="O20" s="2"/>
      <c r="P20" s="2"/>
      <c r="Q20" s="2" t="s">
        <v>15</v>
      </c>
    </row>
    <row r="21" spans="7:17" x14ac:dyDescent="0.35">
      <c r="H21" s="2" t="s">
        <v>9</v>
      </c>
      <c r="I21" s="2"/>
      <c r="J21" s="2"/>
      <c r="K21" s="2"/>
      <c r="L21" s="2">
        <v>50</v>
      </c>
      <c r="M21" s="3">
        <v>46067</v>
      </c>
      <c r="N21" s="2"/>
      <c r="O21" s="2"/>
      <c r="P21" s="2"/>
      <c r="Q21" s="2" t="s">
        <v>16</v>
      </c>
    </row>
    <row r="22" spans="7:17" x14ac:dyDescent="0.35">
      <c r="H22" t="s">
        <v>18</v>
      </c>
      <c r="J22">
        <v>100</v>
      </c>
      <c r="M22" s="3">
        <v>46067</v>
      </c>
      <c r="Q22" t="s">
        <v>19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B1B1-7F22-462E-A4FA-F0FD462403A2}">
  <dimension ref="A1:C160"/>
  <sheetViews>
    <sheetView topLeftCell="A58" workbookViewId="0">
      <selection activeCell="A74" sqref="A74"/>
    </sheetView>
  </sheetViews>
  <sheetFormatPr defaultRowHeight="14.5" x14ac:dyDescent="0.35"/>
  <cols>
    <col min="1" max="2" width="29.90625" bestFit="1" customWidth="1"/>
  </cols>
  <sheetData>
    <row r="1" spans="1:3" x14ac:dyDescent="0.35">
      <c r="A1" s="5" t="s">
        <v>177</v>
      </c>
    </row>
    <row r="2" spans="1:3" x14ac:dyDescent="0.35">
      <c r="A2" t="s">
        <v>20</v>
      </c>
      <c r="B2" t="s">
        <v>20</v>
      </c>
      <c r="C2" t="b">
        <f>B2=A2</f>
        <v>1</v>
      </c>
    </row>
    <row r="3" spans="1:3" x14ac:dyDescent="0.35">
      <c r="A3" t="s">
        <v>21</v>
      </c>
      <c r="B3" t="s">
        <v>21</v>
      </c>
      <c r="C3" t="b">
        <f t="shared" ref="C3:C66" si="0">B3=A3</f>
        <v>1</v>
      </c>
    </row>
    <row r="4" spans="1:3" x14ac:dyDescent="0.35">
      <c r="A4" t="s">
        <v>22</v>
      </c>
      <c r="B4" t="s">
        <v>22</v>
      </c>
      <c r="C4" t="b">
        <f t="shared" si="0"/>
        <v>1</v>
      </c>
    </row>
    <row r="5" spans="1:3" x14ac:dyDescent="0.35">
      <c r="A5" t="s">
        <v>23</v>
      </c>
      <c r="B5" t="s">
        <v>23</v>
      </c>
      <c r="C5" t="b">
        <f t="shared" si="0"/>
        <v>1</v>
      </c>
    </row>
    <row r="6" spans="1:3" x14ac:dyDescent="0.35">
      <c r="A6" t="s">
        <v>24</v>
      </c>
      <c r="B6" t="s">
        <v>24</v>
      </c>
      <c r="C6" t="b">
        <f t="shared" si="0"/>
        <v>1</v>
      </c>
    </row>
    <row r="7" spans="1:3" x14ac:dyDescent="0.35">
      <c r="A7" t="s">
        <v>25</v>
      </c>
      <c r="B7" t="s">
        <v>25</v>
      </c>
      <c r="C7" t="b">
        <f t="shared" si="0"/>
        <v>1</v>
      </c>
    </row>
    <row r="8" spans="1:3" x14ac:dyDescent="0.35">
      <c r="A8" t="s">
        <v>26</v>
      </c>
      <c r="B8" t="s">
        <v>26</v>
      </c>
      <c r="C8" t="b">
        <f t="shared" si="0"/>
        <v>1</v>
      </c>
    </row>
    <row r="9" spans="1:3" x14ac:dyDescent="0.35">
      <c r="A9" t="s">
        <v>27</v>
      </c>
      <c r="B9" t="s">
        <v>27</v>
      </c>
      <c r="C9" t="b">
        <f t="shared" si="0"/>
        <v>1</v>
      </c>
    </row>
    <row r="10" spans="1:3" x14ac:dyDescent="0.35">
      <c r="A10" t="s">
        <v>28</v>
      </c>
      <c r="B10" t="s">
        <v>28</v>
      </c>
      <c r="C10" t="b">
        <f t="shared" si="0"/>
        <v>1</v>
      </c>
    </row>
    <row r="11" spans="1:3" x14ac:dyDescent="0.35">
      <c r="A11" t="s">
        <v>29</v>
      </c>
      <c r="B11" t="s">
        <v>29</v>
      </c>
      <c r="C11" t="b">
        <f t="shared" si="0"/>
        <v>1</v>
      </c>
    </row>
    <row r="12" spans="1:3" x14ac:dyDescent="0.35">
      <c r="A12" t="s">
        <v>30</v>
      </c>
      <c r="B12" t="s">
        <v>30</v>
      </c>
      <c r="C12" t="b">
        <f t="shared" si="0"/>
        <v>1</v>
      </c>
    </row>
    <row r="13" spans="1:3" x14ac:dyDescent="0.35">
      <c r="A13" t="s">
        <v>31</v>
      </c>
      <c r="B13" t="s">
        <v>31</v>
      </c>
      <c r="C13" t="b">
        <f t="shared" si="0"/>
        <v>1</v>
      </c>
    </row>
    <row r="14" spans="1:3" x14ac:dyDescent="0.35">
      <c r="A14" t="s">
        <v>32</v>
      </c>
      <c r="B14" t="s">
        <v>32</v>
      </c>
      <c r="C14" t="b">
        <f t="shared" si="0"/>
        <v>1</v>
      </c>
    </row>
    <row r="15" spans="1:3" x14ac:dyDescent="0.35">
      <c r="A15" t="s">
        <v>33</v>
      </c>
      <c r="B15" t="s">
        <v>33</v>
      </c>
      <c r="C15" t="b">
        <f t="shared" si="0"/>
        <v>1</v>
      </c>
    </row>
    <row r="16" spans="1:3" x14ac:dyDescent="0.35">
      <c r="A16" t="s">
        <v>34</v>
      </c>
      <c r="B16" t="s">
        <v>34</v>
      </c>
      <c r="C16" t="b">
        <f t="shared" si="0"/>
        <v>1</v>
      </c>
    </row>
    <row r="17" spans="1:3" x14ac:dyDescent="0.35">
      <c r="A17" t="s">
        <v>35</v>
      </c>
      <c r="B17" t="s">
        <v>35</v>
      </c>
      <c r="C17" t="b">
        <f t="shared" si="0"/>
        <v>1</v>
      </c>
    </row>
    <row r="18" spans="1:3" x14ac:dyDescent="0.35">
      <c r="A18" t="s">
        <v>36</v>
      </c>
      <c r="B18" t="s">
        <v>36</v>
      </c>
      <c r="C18" t="b">
        <f t="shared" si="0"/>
        <v>1</v>
      </c>
    </row>
    <row r="19" spans="1:3" x14ac:dyDescent="0.35">
      <c r="A19" t="s">
        <v>37</v>
      </c>
      <c r="B19" t="s">
        <v>37</v>
      </c>
      <c r="C19" t="b">
        <f t="shared" si="0"/>
        <v>1</v>
      </c>
    </row>
    <row r="20" spans="1:3" x14ac:dyDescent="0.35">
      <c r="A20" t="s">
        <v>38</v>
      </c>
      <c r="B20" t="s">
        <v>38</v>
      </c>
      <c r="C20" t="b">
        <f t="shared" si="0"/>
        <v>1</v>
      </c>
    </row>
    <row r="21" spans="1:3" x14ac:dyDescent="0.35">
      <c r="A21" t="s">
        <v>39</v>
      </c>
      <c r="B21" t="s">
        <v>39</v>
      </c>
      <c r="C21" t="b">
        <f t="shared" si="0"/>
        <v>1</v>
      </c>
    </row>
    <row r="22" spans="1:3" x14ac:dyDescent="0.35">
      <c r="A22" t="s">
        <v>40</v>
      </c>
      <c r="B22" t="s">
        <v>40</v>
      </c>
      <c r="C22" t="b">
        <f t="shared" si="0"/>
        <v>1</v>
      </c>
    </row>
    <row r="23" spans="1:3" x14ac:dyDescent="0.35">
      <c r="A23" t="s">
        <v>41</v>
      </c>
      <c r="B23" t="s">
        <v>41</v>
      </c>
      <c r="C23" t="b">
        <f t="shared" si="0"/>
        <v>1</v>
      </c>
    </row>
    <row r="24" spans="1:3" x14ac:dyDescent="0.35">
      <c r="A24" t="s">
        <v>42</v>
      </c>
      <c r="B24" t="s">
        <v>42</v>
      </c>
      <c r="C24" t="b">
        <f t="shared" si="0"/>
        <v>1</v>
      </c>
    </row>
    <row r="25" spans="1:3" x14ac:dyDescent="0.35">
      <c r="A25" t="s">
        <v>43</v>
      </c>
      <c r="B25" t="s">
        <v>43</v>
      </c>
      <c r="C25" t="b">
        <f t="shared" si="0"/>
        <v>1</v>
      </c>
    </row>
    <row r="26" spans="1:3" x14ac:dyDescent="0.35">
      <c r="A26" t="s">
        <v>44</v>
      </c>
      <c r="B26" t="s">
        <v>44</v>
      </c>
      <c r="C26" t="b">
        <f t="shared" si="0"/>
        <v>1</v>
      </c>
    </row>
    <row r="27" spans="1:3" x14ac:dyDescent="0.35">
      <c r="A27" t="s">
        <v>45</v>
      </c>
      <c r="B27" t="s">
        <v>45</v>
      </c>
      <c r="C27" t="b">
        <f t="shared" si="0"/>
        <v>1</v>
      </c>
    </row>
    <row r="28" spans="1:3" x14ac:dyDescent="0.35">
      <c r="A28" t="s">
        <v>46</v>
      </c>
      <c r="B28" t="s">
        <v>46</v>
      </c>
      <c r="C28" t="b">
        <f t="shared" si="0"/>
        <v>1</v>
      </c>
    </row>
    <row r="29" spans="1:3" x14ac:dyDescent="0.35">
      <c r="A29" t="s">
        <v>47</v>
      </c>
      <c r="B29" t="s">
        <v>47</v>
      </c>
      <c r="C29" t="b">
        <f t="shared" si="0"/>
        <v>1</v>
      </c>
    </row>
    <row r="30" spans="1:3" x14ac:dyDescent="0.35">
      <c r="A30" t="s">
        <v>48</v>
      </c>
      <c r="B30" t="s">
        <v>48</v>
      </c>
      <c r="C30" t="b">
        <f t="shared" si="0"/>
        <v>1</v>
      </c>
    </row>
    <row r="31" spans="1:3" x14ac:dyDescent="0.35">
      <c r="A31" t="s">
        <v>49</v>
      </c>
      <c r="B31" t="s">
        <v>49</v>
      </c>
      <c r="C31" t="b">
        <f t="shared" si="0"/>
        <v>1</v>
      </c>
    </row>
    <row r="32" spans="1:3" x14ac:dyDescent="0.35">
      <c r="A32" t="s">
        <v>50</v>
      </c>
      <c r="B32" t="s">
        <v>50</v>
      </c>
      <c r="C32" t="b">
        <f t="shared" si="0"/>
        <v>1</v>
      </c>
    </row>
    <row r="33" spans="1:3" x14ac:dyDescent="0.35">
      <c r="A33" t="s">
        <v>51</v>
      </c>
      <c r="B33" t="s">
        <v>51</v>
      </c>
      <c r="C33" t="b">
        <f t="shared" si="0"/>
        <v>1</v>
      </c>
    </row>
    <row r="34" spans="1:3" x14ac:dyDescent="0.35">
      <c r="A34" t="s">
        <v>52</v>
      </c>
      <c r="B34" t="s">
        <v>52</v>
      </c>
      <c r="C34" t="b">
        <f t="shared" si="0"/>
        <v>1</v>
      </c>
    </row>
    <row r="35" spans="1:3" x14ac:dyDescent="0.35">
      <c r="A35" t="s">
        <v>53</v>
      </c>
      <c r="B35" t="s">
        <v>53</v>
      </c>
      <c r="C35" t="b">
        <f t="shared" si="0"/>
        <v>1</v>
      </c>
    </row>
    <row r="36" spans="1:3" x14ac:dyDescent="0.35">
      <c r="A36" t="s">
        <v>54</v>
      </c>
      <c r="B36" t="s">
        <v>54</v>
      </c>
      <c r="C36" t="b">
        <f t="shared" si="0"/>
        <v>1</v>
      </c>
    </row>
    <row r="37" spans="1:3" x14ac:dyDescent="0.35">
      <c r="A37" t="s">
        <v>55</v>
      </c>
      <c r="B37" t="s">
        <v>55</v>
      </c>
      <c r="C37" t="b">
        <f t="shared" si="0"/>
        <v>1</v>
      </c>
    </row>
    <row r="38" spans="1:3" x14ac:dyDescent="0.35">
      <c r="A38" t="s">
        <v>56</v>
      </c>
      <c r="B38" t="s">
        <v>56</v>
      </c>
      <c r="C38" t="b">
        <f t="shared" si="0"/>
        <v>1</v>
      </c>
    </row>
    <row r="39" spans="1:3" x14ac:dyDescent="0.35">
      <c r="A39" t="s">
        <v>57</v>
      </c>
      <c r="B39" t="s">
        <v>57</v>
      </c>
      <c r="C39" t="b">
        <f t="shared" si="0"/>
        <v>1</v>
      </c>
    </row>
    <row r="40" spans="1:3" x14ac:dyDescent="0.35">
      <c r="A40" t="s">
        <v>58</v>
      </c>
      <c r="B40" t="s">
        <v>58</v>
      </c>
      <c r="C40" t="b">
        <f t="shared" si="0"/>
        <v>1</v>
      </c>
    </row>
    <row r="41" spans="1:3" x14ac:dyDescent="0.35">
      <c r="A41" t="s">
        <v>59</v>
      </c>
      <c r="B41" t="s">
        <v>59</v>
      </c>
      <c r="C41" t="b">
        <f t="shared" si="0"/>
        <v>1</v>
      </c>
    </row>
    <row r="42" spans="1:3" x14ac:dyDescent="0.35">
      <c r="A42" t="s">
        <v>60</v>
      </c>
      <c r="B42" t="s">
        <v>60</v>
      </c>
      <c r="C42" t="b">
        <f t="shared" si="0"/>
        <v>1</v>
      </c>
    </row>
    <row r="43" spans="1:3" x14ac:dyDescent="0.35">
      <c r="A43" t="s">
        <v>61</v>
      </c>
      <c r="B43" t="s">
        <v>61</v>
      </c>
      <c r="C43" t="b">
        <f t="shared" si="0"/>
        <v>1</v>
      </c>
    </row>
    <row r="44" spans="1:3" x14ac:dyDescent="0.35">
      <c r="A44" t="s">
        <v>62</v>
      </c>
      <c r="B44" t="s">
        <v>62</v>
      </c>
      <c r="C44" t="b">
        <f t="shared" si="0"/>
        <v>1</v>
      </c>
    </row>
    <row r="45" spans="1:3" x14ac:dyDescent="0.35">
      <c r="A45" t="s">
        <v>63</v>
      </c>
      <c r="B45" t="s">
        <v>63</v>
      </c>
      <c r="C45" t="b">
        <f t="shared" si="0"/>
        <v>1</v>
      </c>
    </row>
    <row r="46" spans="1:3" x14ac:dyDescent="0.35">
      <c r="A46" t="s">
        <v>64</v>
      </c>
      <c r="B46" t="s">
        <v>64</v>
      </c>
      <c r="C46" t="b">
        <f t="shared" si="0"/>
        <v>1</v>
      </c>
    </row>
    <row r="47" spans="1:3" x14ac:dyDescent="0.35">
      <c r="A47" t="s">
        <v>65</v>
      </c>
      <c r="B47" t="s">
        <v>65</v>
      </c>
      <c r="C47" t="b">
        <f t="shared" si="0"/>
        <v>1</v>
      </c>
    </row>
    <row r="48" spans="1:3" x14ac:dyDescent="0.35">
      <c r="A48" t="s">
        <v>66</v>
      </c>
      <c r="B48" t="s">
        <v>66</v>
      </c>
      <c r="C48" t="b">
        <f t="shared" si="0"/>
        <v>1</v>
      </c>
    </row>
    <row r="49" spans="1:3" x14ac:dyDescent="0.35">
      <c r="A49" t="s">
        <v>67</v>
      </c>
      <c r="B49" t="s">
        <v>67</v>
      </c>
      <c r="C49" t="b">
        <f t="shared" si="0"/>
        <v>1</v>
      </c>
    </row>
    <row r="50" spans="1:3" x14ac:dyDescent="0.35">
      <c r="A50" t="s">
        <v>68</v>
      </c>
      <c r="B50" t="s">
        <v>68</v>
      </c>
      <c r="C50" t="b">
        <f t="shared" si="0"/>
        <v>1</v>
      </c>
    </row>
    <row r="51" spans="1:3" x14ac:dyDescent="0.35">
      <c r="A51" t="s">
        <v>69</v>
      </c>
      <c r="B51" t="s">
        <v>69</v>
      </c>
      <c r="C51" t="b">
        <f t="shared" si="0"/>
        <v>1</v>
      </c>
    </row>
    <row r="52" spans="1:3" x14ac:dyDescent="0.35">
      <c r="A52" t="s">
        <v>70</v>
      </c>
      <c r="B52" t="s">
        <v>70</v>
      </c>
      <c r="C52" t="b">
        <f t="shared" si="0"/>
        <v>1</v>
      </c>
    </row>
    <row r="53" spans="1:3" x14ac:dyDescent="0.35">
      <c r="A53" t="s">
        <v>71</v>
      </c>
      <c r="B53" t="s">
        <v>71</v>
      </c>
      <c r="C53" t="b">
        <f t="shared" si="0"/>
        <v>1</v>
      </c>
    </row>
    <row r="54" spans="1:3" x14ac:dyDescent="0.35">
      <c r="A54" t="s">
        <v>72</v>
      </c>
      <c r="B54" t="s">
        <v>72</v>
      </c>
      <c r="C54" t="b">
        <f t="shared" si="0"/>
        <v>1</v>
      </c>
    </row>
    <row r="55" spans="1:3" x14ac:dyDescent="0.35">
      <c r="A55" t="s">
        <v>73</v>
      </c>
      <c r="B55" t="s">
        <v>73</v>
      </c>
      <c r="C55" t="b">
        <f t="shared" si="0"/>
        <v>1</v>
      </c>
    </row>
    <row r="56" spans="1:3" x14ac:dyDescent="0.35">
      <c r="A56" t="s">
        <v>74</v>
      </c>
      <c r="B56" t="s">
        <v>74</v>
      </c>
      <c r="C56" t="b">
        <f t="shared" si="0"/>
        <v>1</v>
      </c>
    </row>
    <row r="57" spans="1:3" x14ac:dyDescent="0.35">
      <c r="A57" t="s">
        <v>75</v>
      </c>
      <c r="B57" t="s">
        <v>75</v>
      </c>
      <c r="C57" t="b">
        <f t="shared" si="0"/>
        <v>1</v>
      </c>
    </row>
    <row r="58" spans="1:3" x14ac:dyDescent="0.35">
      <c r="A58" t="s">
        <v>76</v>
      </c>
      <c r="B58" t="s">
        <v>76</v>
      </c>
      <c r="C58" t="b">
        <f t="shared" si="0"/>
        <v>1</v>
      </c>
    </row>
    <row r="59" spans="1:3" x14ac:dyDescent="0.35">
      <c r="A59" t="s">
        <v>77</v>
      </c>
      <c r="B59" t="s">
        <v>77</v>
      </c>
      <c r="C59" t="b">
        <f t="shared" si="0"/>
        <v>1</v>
      </c>
    </row>
    <row r="60" spans="1:3" x14ac:dyDescent="0.35">
      <c r="A60" t="s">
        <v>78</v>
      </c>
      <c r="B60" t="s">
        <v>78</v>
      </c>
      <c r="C60" t="b">
        <f t="shared" si="0"/>
        <v>1</v>
      </c>
    </row>
    <row r="61" spans="1:3" x14ac:dyDescent="0.35">
      <c r="A61" t="s">
        <v>79</v>
      </c>
      <c r="B61" t="s">
        <v>79</v>
      </c>
      <c r="C61" t="b">
        <f t="shared" si="0"/>
        <v>1</v>
      </c>
    </row>
    <row r="62" spans="1:3" x14ac:dyDescent="0.35">
      <c r="A62" t="s">
        <v>80</v>
      </c>
      <c r="B62" t="s">
        <v>80</v>
      </c>
      <c r="C62" t="b">
        <f t="shared" si="0"/>
        <v>1</v>
      </c>
    </row>
    <row r="63" spans="1:3" x14ac:dyDescent="0.35">
      <c r="A63" t="s">
        <v>81</v>
      </c>
      <c r="B63" t="s">
        <v>81</v>
      </c>
      <c r="C63" t="b">
        <f t="shared" si="0"/>
        <v>1</v>
      </c>
    </row>
    <row r="64" spans="1:3" x14ac:dyDescent="0.35">
      <c r="A64" t="s">
        <v>82</v>
      </c>
      <c r="B64" t="s">
        <v>82</v>
      </c>
      <c r="C64" t="b">
        <f t="shared" si="0"/>
        <v>1</v>
      </c>
    </row>
    <row r="65" spans="1:3" x14ac:dyDescent="0.35">
      <c r="A65" t="s">
        <v>83</v>
      </c>
      <c r="B65" t="s">
        <v>83</v>
      </c>
      <c r="C65" t="b">
        <f t="shared" si="0"/>
        <v>1</v>
      </c>
    </row>
    <row r="66" spans="1:3" x14ac:dyDescent="0.35">
      <c r="A66" t="s">
        <v>84</v>
      </c>
      <c r="B66" t="s">
        <v>84</v>
      </c>
      <c r="C66" t="b">
        <f t="shared" si="0"/>
        <v>1</v>
      </c>
    </row>
    <row r="67" spans="1:3" x14ac:dyDescent="0.35">
      <c r="A67" t="s">
        <v>85</v>
      </c>
      <c r="B67" t="s">
        <v>85</v>
      </c>
      <c r="C67" t="b">
        <f t="shared" ref="C67:C130" si="1">B67=A67</f>
        <v>1</v>
      </c>
    </row>
    <row r="68" spans="1:3" x14ac:dyDescent="0.35">
      <c r="A68" t="s">
        <v>86</v>
      </c>
      <c r="B68" t="s">
        <v>86</v>
      </c>
      <c r="C68" t="b">
        <f t="shared" si="1"/>
        <v>1</v>
      </c>
    </row>
    <row r="69" spans="1:3" x14ac:dyDescent="0.35">
      <c r="A69" t="s">
        <v>87</v>
      </c>
      <c r="B69" t="s">
        <v>87</v>
      </c>
      <c r="C69" t="b">
        <f t="shared" si="1"/>
        <v>1</v>
      </c>
    </row>
    <row r="70" spans="1:3" x14ac:dyDescent="0.35">
      <c r="A70" t="s">
        <v>88</v>
      </c>
      <c r="B70" t="s">
        <v>88</v>
      </c>
      <c r="C70" t="b">
        <f t="shared" si="1"/>
        <v>1</v>
      </c>
    </row>
    <row r="71" spans="1:3" x14ac:dyDescent="0.35">
      <c r="A71" t="s">
        <v>89</v>
      </c>
      <c r="B71" t="s">
        <v>89</v>
      </c>
      <c r="C71" t="b">
        <f t="shared" si="1"/>
        <v>1</v>
      </c>
    </row>
    <row r="72" spans="1:3" x14ac:dyDescent="0.35">
      <c r="A72" t="s">
        <v>90</v>
      </c>
      <c r="B72" t="s">
        <v>90</v>
      </c>
      <c r="C72" t="b">
        <f t="shared" si="1"/>
        <v>1</v>
      </c>
    </row>
    <row r="73" spans="1:3" x14ac:dyDescent="0.35">
      <c r="A73" t="s">
        <v>91</v>
      </c>
      <c r="B73" t="s">
        <v>91</v>
      </c>
      <c r="C73" t="b">
        <f t="shared" si="1"/>
        <v>1</v>
      </c>
    </row>
    <row r="74" spans="1:3" x14ac:dyDescent="0.35">
      <c r="A74" t="s">
        <v>92</v>
      </c>
      <c r="C74" t="b">
        <f t="shared" si="1"/>
        <v>0</v>
      </c>
    </row>
    <row r="75" spans="1:3" x14ac:dyDescent="0.35">
      <c r="A75" t="s">
        <v>93</v>
      </c>
      <c r="B75" t="s">
        <v>93</v>
      </c>
      <c r="C75" t="b">
        <f t="shared" si="1"/>
        <v>1</v>
      </c>
    </row>
    <row r="76" spans="1:3" x14ac:dyDescent="0.35">
      <c r="A76" t="s">
        <v>94</v>
      </c>
      <c r="B76" t="s">
        <v>94</v>
      </c>
      <c r="C76" t="b">
        <f t="shared" si="1"/>
        <v>1</v>
      </c>
    </row>
    <row r="77" spans="1:3" x14ac:dyDescent="0.35">
      <c r="A77" t="s">
        <v>95</v>
      </c>
      <c r="B77" t="s">
        <v>95</v>
      </c>
      <c r="C77" t="b">
        <f t="shared" si="1"/>
        <v>1</v>
      </c>
    </row>
    <row r="78" spans="1:3" x14ac:dyDescent="0.35">
      <c r="A78" t="s">
        <v>96</v>
      </c>
      <c r="B78" t="s">
        <v>96</v>
      </c>
      <c r="C78" t="b">
        <f t="shared" si="1"/>
        <v>1</v>
      </c>
    </row>
    <row r="79" spans="1:3" x14ac:dyDescent="0.35">
      <c r="A79" t="s">
        <v>97</v>
      </c>
      <c r="B79" t="s">
        <v>99</v>
      </c>
      <c r="C79" t="b">
        <f t="shared" si="1"/>
        <v>0</v>
      </c>
    </row>
    <row r="80" spans="1:3" x14ac:dyDescent="0.35">
      <c r="A80" t="s">
        <v>98</v>
      </c>
      <c r="B80" t="s">
        <v>179</v>
      </c>
      <c r="C80" t="b">
        <f t="shared" si="1"/>
        <v>0</v>
      </c>
    </row>
    <row r="81" spans="1:3" x14ac:dyDescent="0.35">
      <c r="A81" t="s">
        <v>99</v>
      </c>
      <c r="B81" t="s">
        <v>97</v>
      </c>
      <c r="C81" t="b">
        <f t="shared" si="1"/>
        <v>0</v>
      </c>
    </row>
    <row r="82" spans="1:3" x14ac:dyDescent="0.35">
      <c r="A82" t="s">
        <v>100</v>
      </c>
      <c r="B82" t="s">
        <v>100</v>
      </c>
      <c r="C82" t="b">
        <f t="shared" si="1"/>
        <v>1</v>
      </c>
    </row>
    <row r="83" spans="1:3" x14ac:dyDescent="0.35">
      <c r="A83" t="s">
        <v>101</v>
      </c>
      <c r="B83" t="s">
        <v>101</v>
      </c>
      <c r="C83" t="b">
        <f t="shared" si="1"/>
        <v>1</v>
      </c>
    </row>
    <row r="84" spans="1:3" x14ac:dyDescent="0.35">
      <c r="A84" t="s">
        <v>102</v>
      </c>
      <c r="B84" t="s">
        <v>102</v>
      </c>
      <c r="C84" t="b">
        <f t="shared" si="1"/>
        <v>1</v>
      </c>
    </row>
    <row r="85" spans="1:3" x14ac:dyDescent="0.35">
      <c r="A85" t="s">
        <v>103</v>
      </c>
      <c r="B85" t="s">
        <v>103</v>
      </c>
      <c r="C85" t="b">
        <f t="shared" si="1"/>
        <v>1</v>
      </c>
    </row>
    <row r="86" spans="1:3" x14ac:dyDescent="0.35">
      <c r="A86" t="s">
        <v>104</v>
      </c>
      <c r="B86" t="s">
        <v>104</v>
      </c>
      <c r="C86" t="b">
        <f t="shared" si="1"/>
        <v>1</v>
      </c>
    </row>
    <row r="87" spans="1:3" x14ac:dyDescent="0.35">
      <c r="A87" t="s">
        <v>105</v>
      </c>
      <c r="B87" t="s">
        <v>105</v>
      </c>
      <c r="C87" t="b">
        <f t="shared" si="1"/>
        <v>1</v>
      </c>
    </row>
    <row r="88" spans="1:3" x14ac:dyDescent="0.35">
      <c r="A88" t="s">
        <v>106</v>
      </c>
      <c r="B88" t="s">
        <v>106</v>
      </c>
      <c r="C88" t="b">
        <f t="shared" si="1"/>
        <v>1</v>
      </c>
    </row>
    <row r="89" spans="1:3" x14ac:dyDescent="0.35">
      <c r="A89" t="s">
        <v>107</v>
      </c>
      <c r="B89" t="s">
        <v>107</v>
      </c>
      <c r="C89" t="b">
        <f t="shared" si="1"/>
        <v>1</v>
      </c>
    </row>
    <row r="90" spans="1:3" x14ac:dyDescent="0.35">
      <c r="A90" t="s">
        <v>108</v>
      </c>
      <c r="B90" t="s">
        <v>108</v>
      </c>
      <c r="C90" t="b">
        <f t="shared" si="1"/>
        <v>1</v>
      </c>
    </row>
    <row r="91" spans="1:3" x14ac:dyDescent="0.35">
      <c r="A91" t="s">
        <v>109</v>
      </c>
      <c r="B91" t="s">
        <v>109</v>
      </c>
      <c r="C91" t="b">
        <f t="shared" si="1"/>
        <v>1</v>
      </c>
    </row>
    <row r="92" spans="1:3" x14ac:dyDescent="0.35">
      <c r="A92" t="s">
        <v>110</v>
      </c>
      <c r="B92" t="s">
        <v>110</v>
      </c>
      <c r="C92" t="b">
        <f t="shared" si="1"/>
        <v>1</v>
      </c>
    </row>
    <row r="93" spans="1:3" x14ac:dyDescent="0.35">
      <c r="A93" t="s">
        <v>111</v>
      </c>
      <c r="B93" t="s">
        <v>111</v>
      </c>
      <c r="C93" t="b">
        <f t="shared" si="1"/>
        <v>1</v>
      </c>
    </row>
    <row r="94" spans="1:3" x14ac:dyDescent="0.35">
      <c r="A94" t="s">
        <v>112</v>
      </c>
      <c r="B94" t="s">
        <v>112</v>
      </c>
      <c r="C94" t="b">
        <f t="shared" si="1"/>
        <v>1</v>
      </c>
    </row>
    <row r="95" spans="1:3" x14ac:dyDescent="0.35">
      <c r="A95" t="s">
        <v>113</v>
      </c>
      <c r="B95" t="s">
        <v>113</v>
      </c>
      <c r="C95" t="b">
        <f t="shared" si="1"/>
        <v>1</v>
      </c>
    </row>
    <row r="96" spans="1:3" x14ac:dyDescent="0.35">
      <c r="A96" t="s">
        <v>114</v>
      </c>
      <c r="B96" t="s">
        <v>114</v>
      </c>
      <c r="C96" t="b">
        <f t="shared" si="1"/>
        <v>1</v>
      </c>
    </row>
    <row r="97" spans="1:3" x14ac:dyDescent="0.35">
      <c r="A97" t="s">
        <v>115</v>
      </c>
      <c r="B97" t="s">
        <v>115</v>
      </c>
      <c r="C97" t="b">
        <f t="shared" si="1"/>
        <v>1</v>
      </c>
    </row>
    <row r="98" spans="1:3" x14ac:dyDescent="0.35">
      <c r="A98" t="s">
        <v>116</v>
      </c>
      <c r="B98" t="s">
        <v>116</v>
      </c>
      <c r="C98" t="b">
        <f t="shared" si="1"/>
        <v>1</v>
      </c>
    </row>
    <row r="99" spans="1:3" x14ac:dyDescent="0.35">
      <c r="A99" t="s">
        <v>117</v>
      </c>
      <c r="B99" t="s">
        <v>117</v>
      </c>
      <c r="C99" t="b">
        <f t="shared" si="1"/>
        <v>1</v>
      </c>
    </row>
    <row r="100" spans="1:3" x14ac:dyDescent="0.35">
      <c r="A100" t="s">
        <v>118</v>
      </c>
      <c r="B100" t="s">
        <v>118</v>
      </c>
      <c r="C100" t="b">
        <f t="shared" si="1"/>
        <v>1</v>
      </c>
    </row>
    <row r="101" spans="1:3" x14ac:dyDescent="0.35">
      <c r="A101" t="s">
        <v>119</v>
      </c>
      <c r="B101" t="s">
        <v>119</v>
      </c>
      <c r="C101" t="b">
        <f t="shared" si="1"/>
        <v>1</v>
      </c>
    </row>
    <row r="102" spans="1:3" x14ac:dyDescent="0.35">
      <c r="A102" t="s">
        <v>120</v>
      </c>
      <c r="B102" t="s">
        <v>120</v>
      </c>
      <c r="C102" t="b">
        <f t="shared" si="1"/>
        <v>1</v>
      </c>
    </row>
    <row r="103" spans="1:3" x14ac:dyDescent="0.35">
      <c r="A103" t="s">
        <v>121</v>
      </c>
      <c r="B103" t="s">
        <v>121</v>
      </c>
      <c r="C103" t="b">
        <f t="shared" si="1"/>
        <v>1</v>
      </c>
    </row>
    <row r="104" spans="1:3" x14ac:dyDescent="0.35">
      <c r="A104" t="s">
        <v>122</v>
      </c>
      <c r="B104" t="s">
        <v>122</v>
      </c>
      <c r="C104" t="b">
        <f t="shared" si="1"/>
        <v>1</v>
      </c>
    </row>
    <row r="105" spans="1:3" x14ac:dyDescent="0.35">
      <c r="A105" t="s">
        <v>123</v>
      </c>
      <c r="B105" t="s">
        <v>123</v>
      </c>
      <c r="C105" t="b">
        <f t="shared" si="1"/>
        <v>1</v>
      </c>
    </row>
    <row r="106" spans="1:3" x14ac:dyDescent="0.35">
      <c r="A106" t="s">
        <v>124</v>
      </c>
      <c r="B106" t="s">
        <v>124</v>
      </c>
      <c r="C106" t="b">
        <f t="shared" si="1"/>
        <v>1</v>
      </c>
    </row>
    <row r="107" spans="1:3" x14ac:dyDescent="0.35">
      <c r="A107" t="s">
        <v>125</v>
      </c>
      <c r="B107" t="s">
        <v>125</v>
      </c>
      <c r="C107" t="b">
        <f t="shared" si="1"/>
        <v>1</v>
      </c>
    </row>
    <row r="108" spans="1:3" x14ac:dyDescent="0.35">
      <c r="A108" t="s">
        <v>126</v>
      </c>
      <c r="B108" t="s">
        <v>126</v>
      </c>
      <c r="C108" t="b">
        <f t="shared" si="1"/>
        <v>1</v>
      </c>
    </row>
    <row r="109" spans="1:3" x14ac:dyDescent="0.35">
      <c r="A109" t="s">
        <v>127</v>
      </c>
      <c r="B109" t="s">
        <v>127</v>
      </c>
      <c r="C109" t="b">
        <f t="shared" si="1"/>
        <v>1</v>
      </c>
    </row>
    <row r="110" spans="1:3" x14ac:dyDescent="0.35">
      <c r="A110" t="s">
        <v>128</v>
      </c>
      <c r="B110" t="s">
        <v>128</v>
      </c>
      <c r="C110" t="b">
        <f t="shared" si="1"/>
        <v>1</v>
      </c>
    </row>
    <row r="111" spans="1:3" x14ac:dyDescent="0.35">
      <c r="A111" t="s">
        <v>129</v>
      </c>
      <c r="B111" t="s">
        <v>129</v>
      </c>
      <c r="C111" t="b">
        <f t="shared" si="1"/>
        <v>1</v>
      </c>
    </row>
    <row r="112" spans="1:3" x14ac:dyDescent="0.35">
      <c r="A112" t="s">
        <v>130</v>
      </c>
      <c r="B112" t="s">
        <v>130</v>
      </c>
      <c r="C112" t="b">
        <f t="shared" si="1"/>
        <v>1</v>
      </c>
    </row>
    <row r="113" spans="1:3" x14ac:dyDescent="0.35">
      <c r="A113" t="s">
        <v>131</v>
      </c>
      <c r="B113" t="s">
        <v>131</v>
      </c>
      <c r="C113" t="b">
        <f t="shared" si="1"/>
        <v>1</v>
      </c>
    </row>
    <row r="114" spans="1:3" x14ac:dyDescent="0.35">
      <c r="A114" t="s">
        <v>132</v>
      </c>
      <c r="B114" t="s">
        <v>132</v>
      </c>
      <c r="C114" t="b">
        <f t="shared" si="1"/>
        <v>1</v>
      </c>
    </row>
    <row r="115" spans="1:3" x14ac:dyDescent="0.35">
      <c r="A115" t="s">
        <v>133</v>
      </c>
      <c r="B115" t="s">
        <v>133</v>
      </c>
      <c r="C115" t="b">
        <f t="shared" si="1"/>
        <v>1</v>
      </c>
    </row>
    <row r="116" spans="1:3" x14ac:dyDescent="0.35">
      <c r="A116" t="s">
        <v>134</v>
      </c>
      <c r="B116" t="s">
        <v>134</v>
      </c>
      <c r="C116" t="b">
        <f t="shared" si="1"/>
        <v>1</v>
      </c>
    </row>
    <row r="117" spans="1:3" x14ac:dyDescent="0.35">
      <c r="A117" t="s">
        <v>135</v>
      </c>
      <c r="B117" t="s">
        <v>135</v>
      </c>
      <c r="C117" t="b">
        <f t="shared" si="1"/>
        <v>1</v>
      </c>
    </row>
    <row r="118" spans="1:3" x14ac:dyDescent="0.35">
      <c r="A118" t="s">
        <v>136</v>
      </c>
      <c r="B118" t="s">
        <v>136</v>
      </c>
      <c r="C118" t="b">
        <f t="shared" si="1"/>
        <v>1</v>
      </c>
    </row>
    <row r="119" spans="1:3" x14ac:dyDescent="0.35">
      <c r="A119" t="s">
        <v>137</v>
      </c>
      <c r="B119" t="s">
        <v>137</v>
      </c>
      <c r="C119" t="b">
        <f t="shared" si="1"/>
        <v>1</v>
      </c>
    </row>
    <row r="120" spans="1:3" x14ac:dyDescent="0.35">
      <c r="A120" t="s">
        <v>138</v>
      </c>
      <c r="B120" t="s">
        <v>138</v>
      </c>
      <c r="C120" t="b">
        <f t="shared" si="1"/>
        <v>1</v>
      </c>
    </row>
    <row r="121" spans="1:3" x14ac:dyDescent="0.35">
      <c r="A121" t="s">
        <v>139</v>
      </c>
      <c r="B121" t="s">
        <v>139</v>
      </c>
      <c r="C121" t="b">
        <f t="shared" si="1"/>
        <v>1</v>
      </c>
    </row>
    <row r="122" spans="1:3" x14ac:dyDescent="0.35">
      <c r="A122" t="s">
        <v>140</v>
      </c>
      <c r="B122" t="s">
        <v>140</v>
      </c>
      <c r="C122" t="b">
        <f t="shared" si="1"/>
        <v>1</v>
      </c>
    </row>
    <row r="123" spans="1:3" x14ac:dyDescent="0.35">
      <c r="A123" t="s">
        <v>141</v>
      </c>
      <c r="B123" t="s">
        <v>141</v>
      </c>
      <c r="C123" t="b">
        <f t="shared" si="1"/>
        <v>1</v>
      </c>
    </row>
    <row r="124" spans="1:3" x14ac:dyDescent="0.35">
      <c r="A124" t="s">
        <v>142</v>
      </c>
      <c r="B124" t="s">
        <v>142</v>
      </c>
      <c r="C124" t="b">
        <f t="shared" si="1"/>
        <v>1</v>
      </c>
    </row>
    <row r="125" spans="1:3" x14ac:dyDescent="0.35">
      <c r="A125" t="s">
        <v>143</v>
      </c>
      <c r="B125" t="s">
        <v>143</v>
      </c>
      <c r="C125" t="b">
        <f t="shared" si="1"/>
        <v>1</v>
      </c>
    </row>
    <row r="126" spans="1:3" x14ac:dyDescent="0.35">
      <c r="A126" t="s">
        <v>144</v>
      </c>
      <c r="B126" t="s">
        <v>144</v>
      </c>
      <c r="C126" t="b">
        <f t="shared" si="1"/>
        <v>1</v>
      </c>
    </row>
    <row r="127" spans="1:3" x14ac:dyDescent="0.35">
      <c r="A127" t="s">
        <v>145</v>
      </c>
      <c r="B127" t="s">
        <v>145</v>
      </c>
      <c r="C127" t="b">
        <f t="shared" si="1"/>
        <v>1</v>
      </c>
    </row>
    <row r="128" spans="1:3" x14ac:dyDescent="0.35">
      <c r="A128" t="s">
        <v>146</v>
      </c>
      <c r="B128" t="s">
        <v>146</v>
      </c>
      <c r="C128" t="b">
        <f t="shared" si="1"/>
        <v>1</v>
      </c>
    </row>
    <row r="129" spans="1:3" x14ac:dyDescent="0.35">
      <c r="A129" t="s">
        <v>147</v>
      </c>
      <c r="B129" t="s">
        <v>147</v>
      </c>
      <c r="C129" t="b">
        <f t="shared" si="1"/>
        <v>1</v>
      </c>
    </row>
    <row r="130" spans="1:3" x14ac:dyDescent="0.35">
      <c r="A130" t="s">
        <v>148</v>
      </c>
      <c r="B130" t="s">
        <v>148</v>
      </c>
      <c r="C130" t="b">
        <f t="shared" si="1"/>
        <v>1</v>
      </c>
    </row>
    <row r="131" spans="1:3" x14ac:dyDescent="0.35">
      <c r="A131" t="s">
        <v>149</v>
      </c>
      <c r="B131" t="s">
        <v>149</v>
      </c>
      <c r="C131" t="b">
        <f t="shared" ref="C131:C160" si="2">B131=A131</f>
        <v>1</v>
      </c>
    </row>
    <row r="132" spans="1:3" x14ac:dyDescent="0.35">
      <c r="A132" t="s">
        <v>150</v>
      </c>
      <c r="B132" t="s">
        <v>150</v>
      </c>
      <c r="C132" t="b">
        <f t="shared" si="2"/>
        <v>1</v>
      </c>
    </row>
    <row r="133" spans="1:3" x14ac:dyDescent="0.35">
      <c r="A133" t="s">
        <v>151</v>
      </c>
      <c r="B133" t="s">
        <v>151</v>
      </c>
      <c r="C133" t="b">
        <f t="shared" si="2"/>
        <v>1</v>
      </c>
    </row>
    <row r="134" spans="1:3" x14ac:dyDescent="0.35">
      <c r="A134" t="s">
        <v>152</v>
      </c>
      <c r="B134" t="s">
        <v>152</v>
      </c>
      <c r="C134" t="b">
        <f t="shared" si="2"/>
        <v>1</v>
      </c>
    </row>
    <row r="135" spans="1:3" x14ac:dyDescent="0.35">
      <c r="A135" t="s">
        <v>153</v>
      </c>
      <c r="B135" t="s">
        <v>153</v>
      </c>
      <c r="C135" t="b">
        <f t="shared" si="2"/>
        <v>1</v>
      </c>
    </row>
    <row r="136" spans="1:3" x14ac:dyDescent="0.35">
      <c r="A136" t="s">
        <v>154</v>
      </c>
      <c r="B136" t="s">
        <v>154</v>
      </c>
      <c r="C136" t="b">
        <f t="shared" si="2"/>
        <v>1</v>
      </c>
    </row>
    <row r="137" spans="1:3" x14ac:dyDescent="0.35">
      <c r="A137" t="s">
        <v>155</v>
      </c>
      <c r="B137" t="s">
        <v>155</v>
      </c>
      <c r="C137" t="b">
        <f t="shared" si="2"/>
        <v>1</v>
      </c>
    </row>
    <row r="138" spans="1:3" x14ac:dyDescent="0.35">
      <c r="A138" t="s">
        <v>156</v>
      </c>
      <c r="B138" t="s">
        <v>156</v>
      </c>
      <c r="C138" t="b">
        <f t="shared" si="2"/>
        <v>1</v>
      </c>
    </row>
    <row r="139" spans="1:3" x14ac:dyDescent="0.35">
      <c r="A139" t="s">
        <v>157</v>
      </c>
      <c r="B139" t="s">
        <v>157</v>
      </c>
      <c r="C139" t="b">
        <f t="shared" si="2"/>
        <v>1</v>
      </c>
    </row>
    <row r="140" spans="1:3" x14ac:dyDescent="0.35">
      <c r="A140" t="s">
        <v>158</v>
      </c>
      <c r="B140" t="s">
        <v>158</v>
      </c>
      <c r="C140" t="b">
        <f t="shared" si="2"/>
        <v>1</v>
      </c>
    </row>
    <row r="141" spans="1:3" x14ac:dyDescent="0.35">
      <c r="A141" t="s">
        <v>159</v>
      </c>
      <c r="B141" t="s">
        <v>159</v>
      </c>
      <c r="C141" t="b">
        <f t="shared" si="2"/>
        <v>1</v>
      </c>
    </row>
    <row r="142" spans="1:3" x14ac:dyDescent="0.35">
      <c r="A142" t="s">
        <v>160</v>
      </c>
      <c r="B142" t="s">
        <v>160</v>
      </c>
      <c r="C142" t="b">
        <f t="shared" si="2"/>
        <v>1</v>
      </c>
    </row>
    <row r="143" spans="1:3" x14ac:dyDescent="0.35">
      <c r="A143" t="s">
        <v>161</v>
      </c>
      <c r="B143" t="s">
        <v>161</v>
      </c>
      <c r="C143" t="b">
        <f t="shared" si="2"/>
        <v>1</v>
      </c>
    </row>
    <row r="144" spans="1:3" x14ac:dyDescent="0.35">
      <c r="A144" t="s">
        <v>162</v>
      </c>
      <c r="B144" t="s">
        <v>162</v>
      </c>
      <c r="C144" t="b">
        <f t="shared" si="2"/>
        <v>1</v>
      </c>
    </row>
    <row r="145" spans="1:3" x14ac:dyDescent="0.35">
      <c r="A145" t="s">
        <v>163</v>
      </c>
      <c r="B145" t="s">
        <v>163</v>
      </c>
      <c r="C145" t="b">
        <f t="shared" si="2"/>
        <v>1</v>
      </c>
    </row>
    <row r="146" spans="1:3" x14ac:dyDescent="0.35">
      <c r="A146" t="s">
        <v>164</v>
      </c>
      <c r="B146" t="s">
        <v>164</v>
      </c>
      <c r="C146" t="b">
        <f t="shared" si="2"/>
        <v>1</v>
      </c>
    </row>
    <row r="147" spans="1:3" x14ac:dyDescent="0.35">
      <c r="A147" t="s">
        <v>165</v>
      </c>
      <c r="B147" t="s">
        <v>165</v>
      </c>
      <c r="C147" t="b">
        <f t="shared" si="2"/>
        <v>1</v>
      </c>
    </row>
    <row r="148" spans="1:3" x14ac:dyDescent="0.35">
      <c r="A148" t="s">
        <v>166</v>
      </c>
      <c r="B148" t="s">
        <v>166</v>
      </c>
      <c r="C148" t="b">
        <f t="shared" si="2"/>
        <v>1</v>
      </c>
    </row>
    <row r="149" spans="1:3" x14ac:dyDescent="0.35">
      <c r="A149" t="s">
        <v>167</v>
      </c>
      <c r="B149" t="s">
        <v>167</v>
      </c>
      <c r="C149" t="b">
        <f t="shared" si="2"/>
        <v>1</v>
      </c>
    </row>
    <row r="150" spans="1:3" x14ac:dyDescent="0.35">
      <c r="A150" t="s">
        <v>168</v>
      </c>
      <c r="B150" t="s">
        <v>168</v>
      </c>
      <c r="C150" t="b">
        <f t="shared" si="2"/>
        <v>1</v>
      </c>
    </row>
    <row r="151" spans="1:3" x14ac:dyDescent="0.35">
      <c r="A151" t="s">
        <v>169</v>
      </c>
      <c r="B151" t="s">
        <v>169</v>
      </c>
      <c r="C151" t="b">
        <f t="shared" si="2"/>
        <v>1</v>
      </c>
    </row>
    <row r="152" spans="1:3" x14ac:dyDescent="0.35">
      <c r="A152" t="s">
        <v>170</v>
      </c>
      <c r="B152" t="s">
        <v>170</v>
      </c>
      <c r="C152" t="b">
        <f t="shared" si="2"/>
        <v>1</v>
      </c>
    </row>
    <row r="153" spans="1:3" x14ac:dyDescent="0.35">
      <c r="A153" t="s">
        <v>171</v>
      </c>
      <c r="B153" t="s">
        <v>171</v>
      </c>
      <c r="C153" t="b">
        <f t="shared" si="2"/>
        <v>1</v>
      </c>
    </row>
    <row r="154" spans="1:3" x14ac:dyDescent="0.35">
      <c r="A154" t="s">
        <v>172</v>
      </c>
      <c r="B154" t="s">
        <v>172</v>
      </c>
      <c r="C154" t="b">
        <f t="shared" si="2"/>
        <v>1</v>
      </c>
    </row>
    <row r="155" spans="1:3" x14ac:dyDescent="0.35">
      <c r="A155" t="s">
        <v>173</v>
      </c>
      <c r="B155" t="s">
        <v>173</v>
      </c>
      <c r="C155" t="b">
        <f t="shared" si="2"/>
        <v>1</v>
      </c>
    </row>
    <row r="156" spans="1:3" x14ac:dyDescent="0.35">
      <c r="A156" t="s">
        <v>174</v>
      </c>
      <c r="B156" t="s">
        <v>174</v>
      </c>
      <c r="C156" t="b">
        <f t="shared" si="2"/>
        <v>1</v>
      </c>
    </row>
    <row r="157" spans="1:3" x14ac:dyDescent="0.35">
      <c r="A157" t="s">
        <v>175</v>
      </c>
      <c r="B157" t="s">
        <v>175</v>
      </c>
      <c r="C157" t="b">
        <f t="shared" si="2"/>
        <v>1</v>
      </c>
    </row>
    <row r="158" spans="1:3" x14ac:dyDescent="0.35">
      <c r="A158" t="s">
        <v>176</v>
      </c>
      <c r="B158" t="s">
        <v>176</v>
      </c>
      <c r="C158" t="b">
        <f t="shared" si="2"/>
        <v>1</v>
      </c>
    </row>
    <row r="159" spans="1:3" x14ac:dyDescent="0.35">
      <c r="A159" t="s">
        <v>133</v>
      </c>
      <c r="B159" t="s">
        <v>180</v>
      </c>
      <c r="C159" t="b">
        <f t="shared" si="2"/>
        <v>0</v>
      </c>
    </row>
    <row r="160" spans="1:3" x14ac:dyDescent="0.35">
      <c r="A160" t="s">
        <v>139</v>
      </c>
      <c r="B160" t="s">
        <v>181</v>
      </c>
      <c r="C160" t="b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67D5-112F-45A2-B033-09DDF31E37C3}">
  <dimension ref="A1:FB2"/>
  <sheetViews>
    <sheetView topLeftCell="ER1" workbookViewId="0">
      <selection sqref="A1:FB1"/>
    </sheetView>
  </sheetViews>
  <sheetFormatPr defaultRowHeight="14.5" x14ac:dyDescent="0.35"/>
  <cols>
    <col min="1" max="1" width="11.54296875" bestFit="1" customWidth="1"/>
    <col min="2" max="2" width="33.36328125" bestFit="1" customWidth="1"/>
    <col min="3" max="3" width="10" bestFit="1" customWidth="1"/>
    <col min="4" max="4" width="11.1796875" bestFit="1" customWidth="1"/>
    <col min="5" max="5" width="15.54296875" bestFit="1" customWidth="1"/>
    <col min="6" max="6" width="10.36328125" bestFit="1" customWidth="1"/>
    <col min="7" max="7" width="10.7265625" bestFit="1" customWidth="1"/>
    <col min="8" max="8" width="24.26953125" bestFit="1" customWidth="1"/>
    <col min="9" max="9" width="20.6328125" bestFit="1" customWidth="1"/>
    <col min="10" max="11" width="20.54296875" bestFit="1" customWidth="1"/>
    <col min="12" max="12" width="16.08984375" bestFit="1" customWidth="1"/>
    <col min="13" max="13" width="8" bestFit="1" customWidth="1"/>
    <col min="14" max="14" width="11" bestFit="1" customWidth="1"/>
    <col min="15" max="15" width="16" bestFit="1" customWidth="1"/>
    <col min="16" max="16" width="16.1796875" bestFit="1" customWidth="1"/>
    <col min="17" max="17" width="15.81640625" bestFit="1" customWidth="1"/>
    <col min="18" max="18" width="18.08984375" bestFit="1" customWidth="1"/>
    <col min="19" max="19" width="16.1796875" bestFit="1" customWidth="1"/>
    <col min="20" max="20" width="13.6328125" bestFit="1" customWidth="1"/>
    <col min="21" max="21" width="33.6328125" bestFit="1" customWidth="1"/>
    <col min="22" max="22" width="15.6328125" bestFit="1" customWidth="1"/>
    <col min="23" max="23" width="10.54296875" bestFit="1" customWidth="1"/>
    <col min="24" max="24" width="15.7265625" bestFit="1" customWidth="1"/>
    <col min="25" max="25" width="15.81640625" bestFit="1" customWidth="1"/>
    <col min="26" max="26" width="16.08984375" bestFit="1" customWidth="1"/>
    <col min="27" max="27" width="12.6328125" bestFit="1" customWidth="1"/>
    <col min="28" max="28" width="12.36328125" bestFit="1" customWidth="1"/>
    <col min="29" max="29" width="17.26953125" bestFit="1" customWidth="1"/>
    <col min="30" max="30" width="14.81640625" bestFit="1" customWidth="1"/>
    <col min="31" max="31" width="14.54296875" bestFit="1" customWidth="1"/>
    <col min="32" max="32" width="18.36328125" bestFit="1" customWidth="1"/>
    <col min="33" max="33" width="15.1796875" bestFit="1" customWidth="1"/>
    <col min="34" max="34" width="18.453125" bestFit="1" customWidth="1"/>
    <col min="35" max="35" width="8.6328125" bestFit="1" customWidth="1"/>
    <col min="36" max="36" width="12.1796875" bestFit="1" customWidth="1"/>
    <col min="37" max="37" width="23" bestFit="1" customWidth="1"/>
    <col min="38" max="38" width="21.453125" bestFit="1" customWidth="1"/>
    <col min="39" max="39" width="14.81640625" bestFit="1" customWidth="1"/>
    <col min="40" max="40" width="24.26953125" bestFit="1" customWidth="1"/>
    <col min="41" max="41" width="20.6328125" bestFit="1" customWidth="1"/>
    <col min="42" max="42" width="21.7265625" bestFit="1" customWidth="1"/>
    <col min="43" max="43" width="12" bestFit="1" customWidth="1"/>
    <col min="44" max="44" width="13.08984375" bestFit="1" customWidth="1"/>
    <col min="45" max="45" width="14.81640625" bestFit="1" customWidth="1"/>
    <col min="46" max="46" width="7.6328125" bestFit="1" customWidth="1"/>
    <col min="47" max="47" width="6.1796875" bestFit="1" customWidth="1"/>
    <col min="48" max="48" width="7.36328125" bestFit="1" customWidth="1"/>
    <col min="49" max="49" width="7.6328125" bestFit="1" customWidth="1"/>
    <col min="50" max="50" width="12.1796875" bestFit="1" customWidth="1"/>
    <col min="51" max="51" width="12.453125" bestFit="1" customWidth="1"/>
    <col min="52" max="53" width="8" bestFit="1" customWidth="1"/>
    <col min="54" max="54" width="15.81640625" bestFit="1" customWidth="1"/>
    <col min="55" max="55" width="7.54296875" bestFit="1" customWidth="1"/>
    <col min="56" max="56" width="9.36328125" bestFit="1" customWidth="1"/>
    <col min="57" max="57" width="13.7265625" bestFit="1" customWidth="1"/>
    <col min="58" max="58" width="6.54296875" bestFit="1" customWidth="1"/>
    <col min="59" max="59" width="16.7265625" bestFit="1" customWidth="1"/>
    <col min="60" max="60" width="22.90625" bestFit="1" customWidth="1"/>
    <col min="61" max="61" width="12.7265625" bestFit="1" customWidth="1"/>
    <col min="62" max="62" width="16" bestFit="1" customWidth="1"/>
    <col min="63" max="63" width="6.6328125" bestFit="1" customWidth="1"/>
    <col min="64" max="64" width="22" bestFit="1" customWidth="1"/>
    <col min="65" max="65" width="21.6328125" bestFit="1" customWidth="1"/>
    <col min="66" max="66" width="26.54296875" bestFit="1" customWidth="1"/>
    <col min="67" max="67" width="14.26953125" bestFit="1" customWidth="1"/>
    <col min="68" max="68" width="11.36328125" bestFit="1" customWidth="1"/>
    <col min="69" max="69" width="6.54296875" bestFit="1" customWidth="1"/>
    <col min="70" max="70" width="13.453125" bestFit="1" customWidth="1"/>
    <col min="71" max="71" width="12.7265625" bestFit="1" customWidth="1"/>
    <col min="72" max="72" width="10.1796875" bestFit="1" customWidth="1"/>
    <col min="73" max="73" width="13.54296875" bestFit="1" customWidth="1"/>
    <col min="74" max="74" width="12.81640625" bestFit="1" customWidth="1"/>
    <col min="75" max="75" width="10.26953125" bestFit="1" customWidth="1"/>
    <col min="76" max="76" width="13.7265625" bestFit="1" customWidth="1"/>
    <col min="77" max="77" width="17" bestFit="1" customWidth="1"/>
    <col min="78" max="78" width="13.26953125" bestFit="1" customWidth="1"/>
    <col min="79" max="79" width="16.54296875" bestFit="1" customWidth="1"/>
    <col min="80" max="80" width="11.6328125" bestFit="1" customWidth="1"/>
    <col min="81" max="81" width="10.54296875" bestFit="1" customWidth="1"/>
    <col min="82" max="82" width="9.81640625" bestFit="1" customWidth="1"/>
    <col min="83" max="83" width="13" bestFit="1" customWidth="1"/>
    <col min="84" max="84" width="10.1796875" bestFit="1" customWidth="1"/>
    <col min="85" max="85" width="12.6328125" bestFit="1" customWidth="1"/>
    <col min="86" max="86" width="14.26953125" bestFit="1" customWidth="1"/>
    <col min="87" max="87" width="12" bestFit="1" customWidth="1"/>
    <col min="88" max="88" width="9.453125" bestFit="1" customWidth="1"/>
    <col min="89" max="89" width="12.54296875" bestFit="1" customWidth="1"/>
    <col min="90" max="90" width="10.54296875" bestFit="1" customWidth="1"/>
    <col min="91" max="91" width="14" bestFit="1" customWidth="1"/>
    <col min="92" max="92" width="18.81640625" bestFit="1" customWidth="1"/>
    <col min="93" max="93" width="18.90625" bestFit="1" customWidth="1"/>
    <col min="94" max="94" width="11.90625" bestFit="1" customWidth="1"/>
    <col min="95" max="95" width="11.81640625" bestFit="1" customWidth="1"/>
    <col min="96" max="96" width="12.453125" bestFit="1" customWidth="1"/>
    <col min="97" max="97" width="16.36328125" bestFit="1" customWidth="1"/>
    <col min="98" max="98" width="18.26953125" bestFit="1" customWidth="1"/>
    <col min="99" max="99" width="18.453125" bestFit="1" customWidth="1"/>
    <col min="100" max="100" width="15.90625" bestFit="1" customWidth="1"/>
    <col min="101" max="101" width="21.54296875" bestFit="1" customWidth="1"/>
    <col min="102" max="102" width="27.26953125" bestFit="1" customWidth="1"/>
    <col min="103" max="103" width="28" bestFit="1" customWidth="1"/>
    <col min="104" max="104" width="30.36328125" bestFit="1" customWidth="1"/>
    <col min="105" max="105" width="25.36328125" bestFit="1" customWidth="1"/>
    <col min="106" max="106" width="23" bestFit="1" customWidth="1"/>
    <col min="107" max="107" width="17.90625" bestFit="1" customWidth="1"/>
    <col min="108" max="108" width="21.1796875" bestFit="1" customWidth="1"/>
    <col min="109" max="109" width="17.81640625" bestFit="1" customWidth="1"/>
    <col min="110" max="110" width="18.90625" bestFit="1" customWidth="1"/>
    <col min="111" max="111" width="17.1796875" bestFit="1" customWidth="1"/>
    <col min="112" max="112" width="18.26953125" bestFit="1" customWidth="1"/>
    <col min="113" max="113" width="16.453125" bestFit="1" customWidth="1"/>
    <col min="114" max="114" width="19.08984375" bestFit="1" customWidth="1"/>
    <col min="115" max="115" width="17.81640625" bestFit="1" customWidth="1"/>
    <col min="116" max="116" width="18.90625" bestFit="1" customWidth="1"/>
    <col min="117" max="117" width="17.1796875" bestFit="1" customWidth="1"/>
    <col min="118" max="118" width="18.26953125" bestFit="1" customWidth="1"/>
    <col min="119" max="119" width="16.453125" bestFit="1" customWidth="1"/>
    <col min="120" max="120" width="19.08984375" bestFit="1" customWidth="1"/>
    <col min="121" max="121" width="12.90625" bestFit="1" customWidth="1"/>
    <col min="122" max="122" width="20" bestFit="1" customWidth="1"/>
    <col min="123" max="123" width="22" bestFit="1" customWidth="1"/>
    <col min="124" max="124" width="24.6328125" bestFit="1" customWidth="1"/>
    <col min="125" max="126" width="22.08984375" bestFit="1" customWidth="1"/>
    <col min="127" max="127" width="15.26953125" bestFit="1" customWidth="1"/>
    <col min="128" max="128" width="25.08984375" bestFit="1" customWidth="1"/>
    <col min="129" max="129" width="27.90625" bestFit="1" customWidth="1"/>
    <col min="130" max="130" width="26.26953125" bestFit="1" customWidth="1"/>
    <col min="131" max="131" width="25.26953125" bestFit="1" customWidth="1"/>
    <col min="132" max="132" width="16.1796875" bestFit="1" customWidth="1"/>
    <col min="133" max="133" width="13.54296875" bestFit="1" customWidth="1"/>
    <col min="134" max="134" width="20.08984375" bestFit="1" customWidth="1"/>
    <col min="135" max="135" width="19.54296875" bestFit="1" customWidth="1"/>
    <col min="136" max="136" width="29.36328125" bestFit="1" customWidth="1"/>
    <col min="137" max="137" width="22.90625" bestFit="1" customWidth="1"/>
    <col min="138" max="138" width="19.08984375" bestFit="1" customWidth="1"/>
    <col min="139" max="139" width="11.26953125" bestFit="1" customWidth="1"/>
    <col min="140" max="140" width="6.08984375" bestFit="1" customWidth="1"/>
    <col min="141" max="141" width="13.6328125" bestFit="1" customWidth="1"/>
    <col min="142" max="142" width="15.26953125" bestFit="1" customWidth="1"/>
    <col min="143" max="143" width="9.08984375" bestFit="1" customWidth="1"/>
    <col min="144" max="144" width="25.08984375" bestFit="1" customWidth="1"/>
    <col min="145" max="145" width="22.6328125" bestFit="1" customWidth="1"/>
    <col min="146" max="146" width="33.54296875" bestFit="1" customWidth="1"/>
    <col min="147" max="147" width="26.08984375" bestFit="1" customWidth="1"/>
    <col min="148" max="148" width="22.7265625" bestFit="1" customWidth="1"/>
    <col min="149" max="149" width="10.1796875" bestFit="1" customWidth="1"/>
    <col min="150" max="150" width="12" bestFit="1" customWidth="1"/>
    <col min="151" max="151" width="11.36328125" bestFit="1" customWidth="1"/>
    <col min="152" max="152" width="14.453125" bestFit="1" customWidth="1"/>
    <col min="153" max="153" width="12.54296875" bestFit="1" customWidth="1"/>
    <col min="154" max="154" width="12.453125" bestFit="1" customWidth="1"/>
    <col min="155" max="155" width="21.1796875" bestFit="1" customWidth="1"/>
    <col min="157" max="158" width="18.26953125" bestFit="1" customWidth="1"/>
  </cols>
  <sheetData>
    <row r="1" spans="1:158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93</v>
      </c>
      <c r="BV1" t="s">
        <v>94</v>
      </c>
      <c r="BW1" t="s">
        <v>95</v>
      </c>
      <c r="BX1" t="s">
        <v>178</v>
      </c>
      <c r="BY1" t="s">
        <v>99</v>
      </c>
      <c r="BZ1" t="s">
        <v>179</v>
      </c>
      <c r="CA1" t="s">
        <v>97</v>
      </c>
      <c r="CB1" t="s">
        <v>100</v>
      </c>
      <c r="CC1" t="s">
        <v>101</v>
      </c>
      <c r="CD1" t="s">
        <v>102</v>
      </c>
      <c r="CE1" t="s">
        <v>103</v>
      </c>
      <c r="CF1" t="s">
        <v>104</v>
      </c>
      <c r="CG1" t="s">
        <v>105</v>
      </c>
      <c r="CH1" t="s">
        <v>106</v>
      </c>
      <c r="CI1" t="s">
        <v>107</v>
      </c>
      <c r="CJ1" t="s">
        <v>108</v>
      </c>
      <c r="CK1" t="s">
        <v>109</v>
      </c>
      <c r="CL1" t="s">
        <v>110</v>
      </c>
      <c r="CM1" t="s">
        <v>111</v>
      </c>
      <c r="CN1" t="s">
        <v>112</v>
      </c>
      <c r="CO1" t="s">
        <v>113</v>
      </c>
      <c r="CP1" t="s">
        <v>114</v>
      </c>
      <c r="CQ1" t="s">
        <v>115</v>
      </c>
      <c r="CR1" t="s">
        <v>116</v>
      </c>
      <c r="CS1" t="s">
        <v>117</v>
      </c>
      <c r="CT1" t="s">
        <v>118</v>
      </c>
      <c r="CU1" t="s">
        <v>119</v>
      </c>
      <c r="CV1" t="s">
        <v>120</v>
      </c>
      <c r="CW1" t="s">
        <v>121</v>
      </c>
      <c r="CX1" t="s">
        <v>122</v>
      </c>
      <c r="CY1" t="s">
        <v>123</v>
      </c>
      <c r="CZ1" t="s">
        <v>124</v>
      </c>
      <c r="DA1" t="s">
        <v>125</v>
      </c>
      <c r="DB1" t="s">
        <v>126</v>
      </c>
      <c r="DC1" t="s">
        <v>127</v>
      </c>
      <c r="DD1" t="s">
        <v>128</v>
      </c>
      <c r="DE1" t="s">
        <v>129</v>
      </c>
      <c r="DF1" t="s">
        <v>130</v>
      </c>
      <c r="DG1" t="s">
        <v>131</v>
      </c>
      <c r="DH1" t="s">
        <v>132</v>
      </c>
      <c r="DI1" t="s">
        <v>133</v>
      </c>
      <c r="DJ1" t="s">
        <v>134</v>
      </c>
      <c r="DK1" t="s">
        <v>135</v>
      </c>
      <c r="DL1" t="s">
        <v>136</v>
      </c>
      <c r="DM1" t="s">
        <v>137</v>
      </c>
      <c r="DN1" t="s">
        <v>138</v>
      </c>
      <c r="DO1" t="s">
        <v>139</v>
      </c>
      <c r="DP1" t="s">
        <v>140</v>
      </c>
      <c r="DQ1" t="s">
        <v>141</v>
      </c>
      <c r="DR1" t="s">
        <v>142</v>
      </c>
      <c r="DS1" t="s">
        <v>143</v>
      </c>
      <c r="DT1" t="s">
        <v>144</v>
      </c>
      <c r="DU1" t="s">
        <v>145</v>
      </c>
      <c r="DV1" t="s">
        <v>146</v>
      </c>
      <c r="DW1" t="s">
        <v>147</v>
      </c>
      <c r="DX1" t="s">
        <v>148</v>
      </c>
      <c r="DY1" t="s">
        <v>149</v>
      </c>
      <c r="DZ1" t="s">
        <v>150</v>
      </c>
      <c r="EA1" t="s">
        <v>151</v>
      </c>
      <c r="EB1" t="s">
        <v>152</v>
      </c>
      <c r="EC1" t="s">
        <v>153</v>
      </c>
      <c r="ED1" t="s">
        <v>154</v>
      </c>
      <c r="EE1" t="s">
        <v>155</v>
      </c>
      <c r="EF1" t="s">
        <v>156</v>
      </c>
      <c r="EG1" t="s">
        <v>157</v>
      </c>
      <c r="EH1" t="s">
        <v>158</v>
      </c>
      <c r="EI1" t="s">
        <v>159</v>
      </c>
      <c r="EJ1" t="s">
        <v>160</v>
      </c>
      <c r="EK1" t="s">
        <v>161</v>
      </c>
      <c r="EL1" t="s">
        <v>162</v>
      </c>
      <c r="EM1" t="s">
        <v>163</v>
      </c>
      <c r="EN1" t="s">
        <v>164</v>
      </c>
      <c r="EO1" t="s">
        <v>165</v>
      </c>
      <c r="EP1" t="s">
        <v>166</v>
      </c>
      <c r="EQ1" t="s">
        <v>167</v>
      </c>
      <c r="ER1" t="s">
        <v>168</v>
      </c>
      <c r="ES1" t="s">
        <v>169</v>
      </c>
      <c r="ET1" t="s">
        <v>170</v>
      </c>
      <c r="EU1" t="s">
        <v>171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180</v>
      </c>
      <c r="FB1" t="s">
        <v>181</v>
      </c>
    </row>
    <row r="2" spans="1:158" x14ac:dyDescent="0.35">
      <c r="A2" s="6" t="s">
        <v>182</v>
      </c>
      <c r="B2" s="6" t="s">
        <v>183</v>
      </c>
      <c r="C2">
        <v>1</v>
      </c>
      <c r="D2">
        <v>4</v>
      </c>
      <c r="E2" s="6" t="s">
        <v>184</v>
      </c>
      <c r="F2">
        <v>12480</v>
      </c>
      <c r="G2" s="6" t="s">
        <v>185</v>
      </c>
      <c r="H2" s="6" t="s">
        <v>185</v>
      </c>
      <c r="I2" s="6" t="s">
        <v>185</v>
      </c>
      <c r="J2">
        <v>0</v>
      </c>
      <c r="K2">
        <v>0</v>
      </c>
      <c r="L2">
        <v>0</v>
      </c>
      <c r="M2">
        <v>0</v>
      </c>
      <c r="N2" s="6" t="s">
        <v>185</v>
      </c>
      <c r="O2" s="6" t="s">
        <v>185</v>
      </c>
      <c r="P2" s="6" t="s">
        <v>186</v>
      </c>
      <c r="Q2">
        <v>2827</v>
      </c>
      <c r="R2" s="6" t="s">
        <v>187</v>
      </c>
      <c r="S2" s="6" t="s">
        <v>188</v>
      </c>
      <c r="T2" s="6" t="s">
        <v>185</v>
      </c>
      <c r="U2" s="6" t="s">
        <v>189</v>
      </c>
      <c r="V2" s="6" t="s">
        <v>190</v>
      </c>
      <c r="W2" s="6" t="s">
        <v>191</v>
      </c>
      <c r="X2">
        <v>1</v>
      </c>
      <c r="Y2">
        <v>12480</v>
      </c>
      <c r="Z2" s="6" t="s">
        <v>192</v>
      </c>
      <c r="AA2">
        <v>10084454</v>
      </c>
      <c r="AB2" s="6" t="s">
        <v>193</v>
      </c>
      <c r="AC2" s="6" t="s">
        <v>194</v>
      </c>
      <c r="AD2" s="7">
        <v>45940</v>
      </c>
      <c r="AE2" s="7">
        <v>45940</v>
      </c>
      <c r="AF2" s="7">
        <v>45940</v>
      </c>
      <c r="AG2" s="7">
        <v>45942</v>
      </c>
      <c r="AH2" s="7">
        <v>46147</v>
      </c>
      <c r="AI2" s="6" t="s">
        <v>185</v>
      </c>
      <c r="AJ2" s="6" t="s">
        <v>185</v>
      </c>
      <c r="AK2" s="6" t="s">
        <v>185</v>
      </c>
      <c r="AL2" s="6" t="s">
        <v>185</v>
      </c>
      <c r="AM2" s="6" t="s">
        <v>185</v>
      </c>
      <c r="AN2" s="6" t="s">
        <v>185</v>
      </c>
      <c r="AO2" s="6" t="s">
        <v>185</v>
      </c>
      <c r="AP2" s="6" t="s">
        <v>185</v>
      </c>
      <c r="AQ2" s="6" t="s">
        <v>185</v>
      </c>
      <c r="AR2" s="6" t="s">
        <v>185</v>
      </c>
      <c r="AS2" s="6" t="s">
        <v>185</v>
      </c>
      <c r="AT2" s="6" t="s">
        <v>185</v>
      </c>
      <c r="AU2" s="6" t="s">
        <v>185</v>
      </c>
      <c r="AV2" s="6" t="s">
        <v>185</v>
      </c>
      <c r="AW2" s="6" t="s">
        <v>185</v>
      </c>
      <c r="AX2" s="6" t="s">
        <v>185</v>
      </c>
      <c r="AY2" s="6" t="s">
        <v>185</v>
      </c>
      <c r="AZ2" s="6" t="s">
        <v>185</v>
      </c>
      <c r="BA2" s="6" t="s">
        <v>185</v>
      </c>
      <c r="BB2" s="6" t="s">
        <v>185</v>
      </c>
      <c r="BC2" s="6" t="s">
        <v>185</v>
      </c>
      <c r="BD2" s="6" t="s">
        <v>185</v>
      </c>
      <c r="BE2" s="6" t="s">
        <v>185</v>
      </c>
      <c r="BF2" s="6" t="s">
        <v>185</v>
      </c>
      <c r="BG2" s="6" t="s">
        <v>185</v>
      </c>
      <c r="BH2" s="6" t="s">
        <v>185</v>
      </c>
      <c r="BI2" s="6" t="s">
        <v>185</v>
      </c>
      <c r="BJ2" s="6" t="s">
        <v>185</v>
      </c>
      <c r="BK2" s="6" t="s">
        <v>185</v>
      </c>
      <c r="BL2" s="6" t="s">
        <v>185</v>
      </c>
      <c r="BM2" s="6" t="s">
        <v>185</v>
      </c>
      <c r="BN2" s="6" t="s">
        <v>185</v>
      </c>
      <c r="BO2" s="6" t="s">
        <v>185</v>
      </c>
      <c r="BP2" s="6" t="s">
        <v>185</v>
      </c>
      <c r="BQ2" s="6" t="s">
        <v>185</v>
      </c>
      <c r="BR2" s="6" t="s">
        <v>185</v>
      </c>
      <c r="BS2" s="6" t="s">
        <v>185</v>
      </c>
      <c r="BT2" s="6" t="s">
        <v>185</v>
      </c>
      <c r="BU2" s="6" t="s">
        <v>185</v>
      </c>
      <c r="BV2" s="6" t="s">
        <v>185</v>
      </c>
      <c r="BW2" s="6" t="s">
        <v>185</v>
      </c>
      <c r="BX2" s="6" t="s">
        <v>185</v>
      </c>
      <c r="BY2" s="6" t="s">
        <v>185</v>
      </c>
      <c r="BZ2" s="6" t="s">
        <v>185</v>
      </c>
      <c r="CA2" s="6" t="s">
        <v>185</v>
      </c>
      <c r="CB2" s="6" t="s">
        <v>185</v>
      </c>
      <c r="CC2" s="6" t="s">
        <v>185</v>
      </c>
      <c r="CD2" s="6" t="s">
        <v>185</v>
      </c>
      <c r="CE2" s="6" t="s">
        <v>185</v>
      </c>
      <c r="CF2" s="6" t="s">
        <v>185</v>
      </c>
      <c r="CG2" s="6" t="s">
        <v>185</v>
      </c>
      <c r="CH2" s="6" t="s">
        <v>185</v>
      </c>
      <c r="CI2" s="6" t="s">
        <v>185</v>
      </c>
      <c r="CJ2" s="6" t="s">
        <v>185</v>
      </c>
      <c r="CK2" s="6" t="s">
        <v>185</v>
      </c>
      <c r="CL2" s="6" t="s">
        <v>185</v>
      </c>
      <c r="CM2" s="6" t="s">
        <v>185</v>
      </c>
      <c r="CN2" s="6" t="s">
        <v>185</v>
      </c>
      <c r="CO2" s="6" t="s">
        <v>185</v>
      </c>
      <c r="CP2" s="6" t="s">
        <v>185</v>
      </c>
      <c r="CQ2" s="6" t="s">
        <v>185</v>
      </c>
      <c r="CR2" s="6" t="s">
        <v>185</v>
      </c>
      <c r="CS2" s="6" t="s">
        <v>185</v>
      </c>
      <c r="CT2" s="6" t="s">
        <v>185</v>
      </c>
      <c r="CU2" s="6" t="s">
        <v>185</v>
      </c>
      <c r="CV2" s="6" t="s">
        <v>185</v>
      </c>
      <c r="CW2" s="6" t="s">
        <v>185</v>
      </c>
      <c r="CX2" s="6" t="s">
        <v>185</v>
      </c>
      <c r="CY2" s="6" t="s">
        <v>185</v>
      </c>
      <c r="CZ2" s="6" t="s">
        <v>185</v>
      </c>
      <c r="DA2" s="6" t="s">
        <v>185</v>
      </c>
      <c r="DB2" s="6" t="s">
        <v>185</v>
      </c>
      <c r="DC2" s="6" t="s">
        <v>185</v>
      </c>
      <c r="DD2" s="6" t="s">
        <v>185</v>
      </c>
      <c r="DE2" s="6" t="s">
        <v>185</v>
      </c>
      <c r="DF2" s="6" t="s">
        <v>185</v>
      </c>
      <c r="DG2" s="6" t="s">
        <v>185</v>
      </c>
      <c r="DH2" s="6" t="s">
        <v>185</v>
      </c>
      <c r="DI2" s="6" t="s">
        <v>185</v>
      </c>
      <c r="DJ2" s="6" t="s">
        <v>185</v>
      </c>
      <c r="DK2" s="6" t="s">
        <v>185</v>
      </c>
      <c r="DL2" s="6" t="s">
        <v>185</v>
      </c>
      <c r="DM2" s="6" t="s">
        <v>185</v>
      </c>
      <c r="DN2" s="6" t="s">
        <v>185</v>
      </c>
      <c r="DO2" s="6" t="s">
        <v>185</v>
      </c>
      <c r="DP2" s="6" t="s">
        <v>185</v>
      </c>
      <c r="DQ2" s="6" t="s">
        <v>185</v>
      </c>
      <c r="DR2" s="6" t="s">
        <v>185</v>
      </c>
      <c r="DS2" s="6" t="s">
        <v>185</v>
      </c>
      <c r="DT2" s="6" t="s">
        <v>185</v>
      </c>
      <c r="DU2" s="6" t="s">
        <v>185</v>
      </c>
      <c r="DV2" s="6" t="s">
        <v>185</v>
      </c>
      <c r="DW2" s="6" t="s">
        <v>185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 s="6" t="s">
        <v>185</v>
      </c>
      <c r="EE2" s="6" t="s">
        <v>185</v>
      </c>
      <c r="EF2">
        <v>1</v>
      </c>
      <c r="EG2" s="6" t="s">
        <v>185</v>
      </c>
      <c r="EH2" s="6" t="s">
        <v>185</v>
      </c>
      <c r="EI2" s="6" t="s">
        <v>185</v>
      </c>
      <c r="EJ2" s="6" t="s">
        <v>185</v>
      </c>
      <c r="EK2" s="6" t="s">
        <v>185</v>
      </c>
      <c r="EL2" s="6" t="s">
        <v>185</v>
      </c>
      <c r="EM2" s="6" t="s">
        <v>185</v>
      </c>
      <c r="EN2">
        <v>0</v>
      </c>
      <c r="EO2">
        <v>0</v>
      </c>
      <c r="EP2">
        <v>0</v>
      </c>
      <c r="EQ2">
        <v>0</v>
      </c>
      <c r="ER2">
        <v>0</v>
      </c>
      <c r="ES2" s="6" t="s">
        <v>185</v>
      </c>
      <c r="ET2" s="6" t="s">
        <v>185</v>
      </c>
      <c r="EU2" s="6" t="s">
        <v>185</v>
      </c>
      <c r="EV2" s="6" t="s">
        <v>185</v>
      </c>
      <c r="EW2" s="6" t="s">
        <v>185</v>
      </c>
      <c r="EX2" s="6" t="s">
        <v>185</v>
      </c>
      <c r="EY2" s="6" t="s">
        <v>185</v>
      </c>
      <c r="EZ2" s="6" t="s">
        <v>185</v>
      </c>
      <c r="FA2" s="6" t="s">
        <v>185</v>
      </c>
      <c r="FB2" s="6" t="s">
        <v>185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3655-BB36-4C13-B5D1-B59F7E49976E}">
  <dimension ref="A1"/>
  <sheetViews>
    <sheetView workbookViewId="0">
      <selection activeCell="J24" sqref="J2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164F2-527F-41D4-A255-5B26EB261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cols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2026-02-17T12:45:27Z</dcterms:created>
  <dcterms:modified xsi:type="dcterms:W3CDTF">2026-02-20T09:33:16Z</dcterms:modified>
</cp:coreProperties>
</file>