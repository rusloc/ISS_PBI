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ECF73FC1-DE01-4B4B-8064-F0E956BC9FD8}" xr6:coauthVersionLast="47" xr6:coauthVersionMax="47" xr10:uidLastSave="{00000000-0000-0000-0000-000000000000}"/>
  <bookViews>
    <workbookView xWindow="-110" yWindow="-110" windowWidth="25420" windowHeight="16300" xr2:uid="{4CCA7571-EBAD-4939-B08E-877B66C23D7B}"/>
  </bookViews>
  <sheets>
    <sheet name="Tracker Field Mapping" sheetId="2" r:id="rId1"/>
    <sheet name="PBI Param list" sheetId="3" r:id="rId2"/>
    <sheet name="SQL output" sheetId="4" r:id="rId3"/>
  </sheets>
  <definedNames>
    <definedName name="_xlnm._FilterDatabase" localSheetId="1" hidden="1">'PBI Param list'!$A$1:$A$84</definedName>
    <definedName name="_xlnm._FilterDatabase" localSheetId="2" hidden="1">'SQL output'!$A$1:$C$121</definedName>
    <definedName name="_xlnm._FilterDatabase" localSheetId="0" hidden="1">'Tracker Field Mapping'!$A$1:$N$111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2" i="4"/>
</calcChain>
</file>

<file path=xl/sharedStrings.xml><?xml version="1.0" encoding="utf-8"?>
<sst xmlns="http://schemas.openxmlformats.org/spreadsheetml/2006/main" count="1273" uniqueCount="502">
  <si>
    <t>Sl No</t>
  </si>
  <si>
    <t>Column Name</t>
  </si>
  <si>
    <t>From System</t>
  </si>
  <si>
    <t>Current Status</t>
  </si>
  <si>
    <t>BU</t>
  </si>
  <si>
    <t>Description</t>
  </si>
  <si>
    <t xml:space="preserve">Supplier </t>
  </si>
  <si>
    <t>EKPOREF#</t>
  </si>
  <si>
    <t>SECONDARY PO</t>
  </si>
  <si>
    <t>PO REMARKS</t>
  </si>
  <si>
    <t xml:space="preserve">COMMODITY </t>
  </si>
  <si>
    <t>MODE</t>
  </si>
  <si>
    <t>ROUTED BY</t>
  </si>
  <si>
    <t>INCOTERMS</t>
  </si>
  <si>
    <t>ISS JOB#</t>
  </si>
  <si>
    <t>CONTAINER #</t>
  </si>
  <si>
    <t>POL</t>
  </si>
  <si>
    <t>PORT NAME</t>
  </si>
  <si>
    <t>DEST</t>
  </si>
  <si>
    <t>EQPT TYPE</t>
  </si>
  <si>
    <t>20'</t>
  </si>
  <si>
    <t>40'</t>
  </si>
  <si>
    <t># OF CONT.</t>
  </si>
  <si>
    <t># of TEU's</t>
  </si>
  <si>
    <t>Carrier</t>
  </si>
  <si>
    <t>PR APPR DATE</t>
  </si>
  <si>
    <t>PO RECD DATE</t>
  </si>
  <si>
    <t>PO NEED BY DATE</t>
  </si>
  <si>
    <t>CRD</t>
  </si>
  <si>
    <t>Pick Up</t>
  </si>
  <si>
    <t>Cargo H/O</t>
  </si>
  <si>
    <t>ETD</t>
  </si>
  <si>
    <t>REVISED ETD</t>
  </si>
  <si>
    <t>ETA</t>
  </si>
  <si>
    <t>REVISED ETA</t>
  </si>
  <si>
    <t>D/O EXP</t>
  </si>
  <si>
    <t>DEL</t>
  </si>
  <si>
    <t>STATUS</t>
  </si>
  <si>
    <t>INNER  QTY</t>
  </si>
  <si>
    <t>G/W (KGS.)</t>
  </si>
  <si>
    <t>C/W (KGS.)</t>
  </si>
  <si>
    <t>QTY</t>
  </si>
  <si>
    <t>PACK TYPE</t>
  </si>
  <si>
    <t>Invoice (AED)</t>
  </si>
  <si>
    <t>SHIPMENT REMARKS/UPDATES</t>
  </si>
  <si>
    <t>P/A Sent</t>
  </si>
  <si>
    <t>D/N</t>
  </si>
  <si>
    <t>E2E TOTAL LEAD TIME ACCURACY</t>
  </si>
  <si>
    <t>No of Days Total Comm LT (as per contract)</t>
  </si>
  <si>
    <t>Actual Lead (PO to Date)</t>
  </si>
  <si>
    <t>REASON CODE</t>
  </si>
  <si>
    <t>No of Days Order Placement LT</t>
  </si>
  <si>
    <t>No. of Days Supplier Production Lead Time</t>
  </si>
  <si>
    <t>No. of Days Transit LT</t>
  </si>
  <si>
    <t>E2E Total LT</t>
  </si>
  <si>
    <t>ORG CHARGES (USD)</t>
  </si>
  <si>
    <t>FRT CHGS (USD)</t>
  </si>
  <si>
    <t>DEST CHARGES (USD)</t>
  </si>
  <si>
    <t>Ancillary Charges (AED)</t>
  </si>
  <si>
    <t>Ancillary Charge Type</t>
  </si>
  <si>
    <t>ORG CHGS (AED)</t>
  </si>
  <si>
    <t>FRT CHGS (AED)</t>
  </si>
  <si>
    <t>DEST CHGS (AED)</t>
  </si>
  <si>
    <t>P2P VALUE</t>
  </si>
  <si>
    <t>TOTAL CHARGES (AED)</t>
  </si>
  <si>
    <t>RDD-ETA</t>
  </si>
  <si>
    <t>Invoice ( USD)</t>
  </si>
  <si>
    <t>NBD TO CRD</t>
  </si>
  <si>
    <t>CRD TO ETD</t>
  </si>
  <si>
    <t>ETD TO ETA</t>
  </si>
  <si>
    <t>ETA TO DEL</t>
  </si>
  <si>
    <t>NBD TO ETA</t>
  </si>
  <si>
    <t>NBD TO DEL</t>
  </si>
  <si>
    <t>AVERAGE LT</t>
  </si>
  <si>
    <t>ISS REF</t>
  </si>
  <si>
    <t>PO#</t>
  </si>
  <si>
    <t>Comment</t>
  </si>
  <si>
    <t>COMS</t>
  </si>
  <si>
    <t>SHIPMENT#</t>
  </si>
  <si>
    <t>FOCUS</t>
  </si>
  <si>
    <t>HBL#/HAWB#</t>
  </si>
  <si>
    <t>MBL#/MAWB#</t>
  </si>
  <si>
    <t>Container#</t>
  </si>
  <si>
    <t>value IFS / GDC / UDC / Return</t>
  </si>
  <si>
    <t>REQUISITION / BILLING NOTES</t>
  </si>
  <si>
    <t>PR #</t>
  </si>
  <si>
    <t>PR DATE</t>
  </si>
  <si>
    <t>REQ STATUS</t>
  </si>
  <si>
    <t>SPO #</t>
  </si>
  <si>
    <t>PO STATUS</t>
  </si>
  <si>
    <t>Sent to OPS</t>
  </si>
  <si>
    <t>Invoice #</t>
  </si>
  <si>
    <t>Billing Status</t>
  </si>
  <si>
    <t>Billing Month</t>
  </si>
  <si>
    <t>GRN</t>
  </si>
  <si>
    <t>GRN STATUS</t>
  </si>
  <si>
    <t>PAYMENT STATUS</t>
  </si>
  <si>
    <t>ADDL PO</t>
  </si>
  <si>
    <t>ADDL INV CHGS</t>
  </si>
  <si>
    <t>ADDL INV #</t>
  </si>
  <si>
    <t>ADDL PO GRN #</t>
  </si>
  <si>
    <t>ADDL INV BILLING MONTH</t>
  </si>
  <si>
    <t>ADDL INV PAYMENT STATUS</t>
  </si>
  <si>
    <t>Days Delayed - ETD</t>
  </si>
  <si>
    <t>Days Delayed - ETA</t>
  </si>
  <si>
    <t>Branch</t>
  </si>
  <si>
    <t>Available</t>
  </si>
  <si>
    <t>On COMS user should be able to select Branch while creating shipment.</t>
  </si>
  <si>
    <t>Service</t>
  </si>
  <si>
    <t>Supplier Name</t>
  </si>
  <si>
    <t>PO #</t>
  </si>
  <si>
    <t>PO Remarks</t>
  </si>
  <si>
    <t>Shipment Serial No</t>
  </si>
  <si>
    <t>MB/L Number/MAWB Number</t>
  </si>
  <si>
    <t>HB/L Number/HAWB Number</t>
  </si>
  <si>
    <t>HB/L/HAWB #</t>
  </si>
  <si>
    <t>MBL/MAWB #</t>
  </si>
  <si>
    <t>Container Number</t>
  </si>
  <si>
    <t>Show all Container# against the Shipment seperated by Comma</t>
  </si>
  <si>
    <t>Shipping Terms</t>
  </si>
  <si>
    <t>Origin Port/Airport Code</t>
  </si>
  <si>
    <t>Origin Port/Airport Name</t>
  </si>
  <si>
    <t>Origin Port/Airport Country Name</t>
  </si>
  <si>
    <t>Origin Port/Airport Country Region</t>
  </si>
  <si>
    <t>Destination Port/Airport Code</t>
  </si>
  <si>
    <t>PO_DATE</t>
  </si>
  <si>
    <t>PO_APP_DT</t>
  </si>
  <si>
    <t>REQ_APP_DT</t>
  </si>
  <si>
    <t>CURRENT_PO_PROMISED_DT</t>
  </si>
  <si>
    <t>Cargo Readiness Date</t>
  </si>
  <si>
    <t>Current Promise Date</t>
  </si>
  <si>
    <t>PO Received Date</t>
  </si>
  <si>
    <t>PO Created Date</t>
  </si>
  <si>
    <t>Not Available</t>
  </si>
  <si>
    <t>Routed By</t>
  </si>
  <si>
    <t>Container Type</t>
  </si>
  <si>
    <t>Show the total No of Containers of 20 feet container type</t>
  </si>
  <si>
    <t>Show the total No of Containers of 40 feet container type</t>
  </si>
  <si>
    <t xml:space="preserve">Show the value in the format "Total No of Container" * "Container Type".Each container type should be seperated by "+".Say eg:  2 x 20 ft Standard Dry + 1 x 40 ft Standard Dry  </t>
  </si>
  <si>
    <t>Show the total No of Containers</t>
  </si>
  <si>
    <t>Show the total no of Teus</t>
  </si>
  <si>
    <t>Shipping Line/Air Line</t>
  </si>
  <si>
    <t>For the Ocean Import take the value from Shipping Line but for Ocean Export take the value from Carrier.Air jobs it will be always Airline.</t>
  </si>
  <si>
    <t>Cargo Ready Date Actual</t>
  </si>
  <si>
    <t>PO_APP_DT+2 Days</t>
  </si>
  <si>
    <t>Pickup/Stuffing Date</t>
  </si>
  <si>
    <t>PTD(Wakeo)</t>
  </si>
  <si>
    <t>PTA(Wakeo)</t>
  </si>
  <si>
    <t>Delivery Date</t>
  </si>
  <si>
    <t>Total Gross Weight from Cargo</t>
  </si>
  <si>
    <t>Total Chargeable Weight from Cargo</t>
  </si>
  <si>
    <t>Total Gross Volume from Cargo</t>
  </si>
  <si>
    <t>Total No of Packages from Cargo</t>
  </si>
  <si>
    <t>Declaration Value under Customs</t>
  </si>
  <si>
    <t>Shipment Remarks</t>
  </si>
  <si>
    <t>Pre Alert Sent Status</t>
  </si>
  <si>
    <t>PO APPR DATE</t>
  </si>
  <si>
    <t>Remarks</t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</si>
  <si>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>="") 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</si>
  <si>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="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 xml:space="preserve">"  || </t>
    </r>
    <r>
      <rPr>
        <b/>
        <sz val="11"/>
        <color theme="1"/>
        <rFont val="Aptos Narrow"/>
        <family val="2"/>
        <scheme val="minor"/>
      </rPr>
      <t>OriginCountryName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Supplier Lead Time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OriginCountryLeadTime</t>
    </r>
    <r>
      <rPr>
        <sz val="11"/>
        <color theme="1"/>
        <rFont val="Aptos Narrow"/>
        <family val="2"/>
        <scheme val="minor"/>
      </rPr>
      <t>+7+3+5}</t>
    </r>
  </si>
  <si>
    <r>
      <t>if(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="") 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</si>
  <si>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&gt;0)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</si>
  <si>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r>
      <t>if(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&gt;0)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}
else 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 xml:space="preserve">=0} 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</si>
  <si>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</si>
  <si>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No. of Days Supplier Production Lead Time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 if(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&lt;=15)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="Healthy"}
else if(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&lt;=30)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="Minor"}
else if(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&lt;=45)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="Moderate"}
else if(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&lt;=60)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="Major"}
else if(</t>
    </r>
    <r>
      <rPr>
        <b/>
        <sz val="11"/>
        <color theme="1"/>
        <rFont val="Aptos Narrow"/>
        <family val="2"/>
        <scheme val="minor"/>
      </rPr>
      <t>Actual Lead (PO to Date)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 (as per contract)</t>
    </r>
    <r>
      <rPr>
        <sz val="11"/>
        <color theme="1"/>
        <rFont val="Aptos Narrow"/>
        <family val="2"/>
        <scheme val="minor"/>
      </rPr>
      <t>&gt;60)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="Severe"}</t>
    </r>
  </si>
  <si>
    <r>
      <t>if(</t>
    </r>
    <r>
      <rPr>
        <b/>
        <sz val="11"/>
        <color theme="1"/>
        <rFont val="Aptos Narrow"/>
        <family val="2"/>
        <scheme val="minor"/>
      </rPr>
      <t>HEALTH CHECK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HEALTH CHECK</t>
    </r>
    <r>
      <rPr>
        <sz val="11"/>
        <color theme="1"/>
        <rFont val="Aptos Narrow"/>
        <family val="2"/>
        <scheme val="minor"/>
      </rPr>
      <t>="Healthy")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 if(</t>
    </r>
    <r>
      <rPr>
        <b/>
        <sz val="11"/>
        <color theme="1"/>
        <rFont val="Aptos Narrow"/>
        <family val="2"/>
        <scheme val="minor"/>
      </rPr>
      <t>ON TIME ORDER PLACEMENT PERF</t>
    </r>
    <r>
      <rPr>
        <sz val="11"/>
        <color theme="1"/>
        <rFont val="Aptos Narrow"/>
        <family val="2"/>
        <scheme val="minor"/>
      </rPr>
      <t xml:space="preserve"> %&lt;100%)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="PR to PO Delay"}
else if(</t>
    </r>
    <r>
      <rPr>
        <b/>
        <sz val="11"/>
        <color theme="1"/>
        <rFont val="Aptos Narrow"/>
        <family val="2"/>
        <scheme val="minor"/>
      </rPr>
      <t>Supplier committed product readiness performance</t>
    </r>
    <r>
      <rPr>
        <sz val="11"/>
        <color theme="1"/>
        <rFont val="Aptos Narrow"/>
        <family val="2"/>
        <scheme val="minor"/>
      </rPr>
      <t xml:space="preserve"> %&lt;100%)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="Product Readiness Delay"}
else if(</t>
    </r>
    <r>
      <rPr>
        <b/>
        <sz val="11"/>
        <color theme="1"/>
        <rFont val="Aptos Narrow"/>
        <family val="2"/>
        <scheme val="minor"/>
      </rPr>
      <t>ISS container booking performance %</t>
    </r>
    <r>
      <rPr>
        <sz val="11"/>
        <color theme="1"/>
        <rFont val="Aptos Narrow"/>
        <family val="2"/>
        <scheme val="minor"/>
      </rPr>
      <t>&lt;100%)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="Booking Delay"}
else if(</t>
    </r>
    <r>
      <rPr>
        <b/>
        <sz val="11"/>
        <color theme="1"/>
        <rFont val="Aptos Narrow"/>
        <family val="2"/>
        <scheme val="minor"/>
      </rPr>
      <t>ISS Transit Lead Time Perf %</t>
    </r>
    <r>
      <rPr>
        <sz val="11"/>
        <color theme="1"/>
        <rFont val="Aptos Narrow"/>
        <family val="2"/>
        <scheme val="minor"/>
      </rPr>
      <t>&lt;100%)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="Trans Shipment Delay"}
else if(</t>
    </r>
    <r>
      <rPr>
        <b/>
        <sz val="11"/>
        <color theme="1"/>
        <rFont val="Aptos Narrow"/>
        <family val="2"/>
        <scheme val="minor"/>
      </rPr>
      <t>ISS custom clearance Perf %</t>
    </r>
    <r>
      <rPr>
        <sz val="11"/>
        <color theme="1"/>
        <rFont val="Aptos Narrow"/>
        <family val="2"/>
        <scheme val="minor"/>
      </rPr>
      <t>&lt;100%)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="Custom Clearance Delay"}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</si>
  <si>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!="" &amp;&amp;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)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</si>
  <si>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CURRENT_PO_PROMISED_DT</t>
    </r>
    <r>
      <rPr>
        <sz val="11"/>
        <color theme="1"/>
        <rFont val="Aptos Narrow"/>
        <family val="2"/>
        <scheme val="minor"/>
      </rPr>
      <t xml:space="preserve">) 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</si>
  <si>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)</t>
    </r>
  </si>
  <si>
    <r>
      <t>if(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</si>
  <si>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="Cancelled" ||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="Pending" ||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="Not Due")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 if(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CURRENT_PO_PROMISED_DT</t>
    </r>
    <r>
      <rPr>
        <sz val="11"/>
        <color theme="1"/>
        <rFont val="Aptos Narrow"/>
        <family val="2"/>
        <scheme val="minor"/>
      </rPr>
      <t>)</t>
    </r>
  </si>
  <si>
    <r>
      <t>if(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PO_DATE</t>
    </r>
    <r>
      <rPr>
        <sz val="11"/>
        <color theme="1"/>
        <rFont val="Aptos Narrow"/>
        <family val="2"/>
        <scheme val="minor"/>
      </rPr>
      <t>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</si>
  <si>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r>
      <t>if(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)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)</t>
    </r>
  </si>
  <si>
    <r>
      <t>if(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 xml:space="preserve">!="" &amp;&amp; 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>}
else if(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 xml:space="preserve">!="" &amp;&amp; </t>
    </r>
    <r>
      <rPr>
        <b/>
        <sz val="11"/>
        <color theme="1"/>
        <rFont val="Aptos Narrow"/>
        <family val="2"/>
        <scheme val="minor"/>
      </rPr>
      <t>REVISED ETD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)
else if(</t>
    </r>
    <r>
      <rPr>
        <b/>
        <sz val="11"/>
        <color theme="1"/>
        <rFont val="Aptos Narrow"/>
        <family val="2"/>
        <scheme val="minor"/>
      </rPr>
      <t>REVISED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 xml:space="preserve">="" &amp;&amp; </t>
    </r>
    <r>
      <rPr>
        <b/>
        <sz val="11"/>
        <color theme="1"/>
        <rFont val="Aptos Narrow"/>
        <family val="2"/>
        <scheme val="minor"/>
      </rPr>
      <t>REVISED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REVISED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}
else if(</t>
    </r>
    <r>
      <rPr>
        <b/>
        <sz val="11"/>
        <color theme="1"/>
        <rFont val="Aptos Narrow"/>
        <family val="2"/>
        <scheme val="minor"/>
      </rPr>
      <t>REVISED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 xml:space="preserve">="" &amp;&amp; </t>
    </r>
    <r>
      <rPr>
        <b/>
        <sz val="11"/>
        <color theme="1"/>
        <rFont val="Aptos Narrow"/>
        <family val="2"/>
        <scheme val="minor"/>
      </rPr>
      <t>REVISED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</si>
  <si>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REVISED ETA</t>
    </r>
    <r>
      <rPr>
        <sz val="11"/>
        <color theme="1"/>
        <rFont val="Aptos Narrow"/>
        <family val="2"/>
        <scheme val="minor"/>
      </rPr>
      <t>)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}</t>
    </r>
  </si>
  <si>
    <r>
      <t>if(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="Cancelled" ||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="Pending" ||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="Not Due")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
else if(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!="")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CURRENT_PO_PROMISED_DT</t>
    </r>
    <r>
      <rPr>
        <sz val="11"/>
        <color theme="1"/>
        <rFont val="Aptos Narrow"/>
        <family val="2"/>
        <scheme val="minor"/>
      </rPr>
      <t>}</t>
    </r>
  </si>
  <si>
    <r>
      <rPr>
        <b/>
        <sz val="11"/>
        <color theme="1"/>
        <rFont val="Aptos Narrow"/>
        <family val="2"/>
        <scheme val="minor"/>
      </rPr>
      <t>CURRENT_PO_PROMISED_DT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DeliveryDate</t>
    </r>
  </si>
  <si>
    <t>No. of Days Custom Clearance LT</t>
  </si>
  <si>
    <t>No. of Days ISS Cont. Booking LT</t>
  </si>
  <si>
    <t>DELIVERY LOCATION</t>
  </si>
  <si>
    <r>
      <rPr>
        <b/>
        <sz val="11"/>
        <color theme="1"/>
        <rFont val="Aptos Narrow"/>
        <family val="2"/>
        <scheme val="minor"/>
      </rPr>
      <t>ORG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FRT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DEST CHGS (AED)</t>
    </r>
  </si>
  <si>
    <r>
      <rPr>
        <b/>
        <sz val="11"/>
        <color theme="1"/>
        <rFont val="Aptos Narrow"/>
        <family val="2"/>
        <scheme val="minor"/>
      </rPr>
      <t>Ancillary Charges (AED)+ORG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FRT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DEST CHGS (AED)</t>
    </r>
  </si>
  <si>
    <t>Invoiced Month</t>
  </si>
  <si>
    <t>GRN Status</t>
  </si>
  <si>
    <r>
      <t>New "</t>
    </r>
    <r>
      <rPr>
        <b/>
        <sz val="11"/>
        <color theme="1"/>
        <rFont val="Aptos Narrow"/>
        <family val="2"/>
        <scheme val="minor"/>
      </rPr>
      <t>Shipment Remarks</t>
    </r>
    <r>
      <rPr>
        <sz val="11"/>
        <color theme="1"/>
        <rFont val="Aptos Narrow"/>
        <family val="2"/>
        <scheme val="minor"/>
      </rPr>
      <t>" field needs to be added in COMS shipment page and needs to save in COMS. Take the value from Shipment page in COMS.</t>
    </r>
  </si>
  <si>
    <r>
      <t>Show it as "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>" if the Pre Alert Sent through COMS else show as "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>".</t>
    </r>
  </si>
  <si>
    <t>Not Required</t>
  </si>
  <si>
    <t>Show the Freight Order No</t>
  </si>
  <si>
    <r>
      <t>Document Label "</t>
    </r>
    <r>
      <rPr>
        <b/>
        <sz val="11"/>
        <rFont val="Aptos Narrow"/>
        <family val="2"/>
        <scheme val="minor"/>
      </rPr>
      <t>AGI</t>
    </r>
    <r>
      <rPr>
        <sz val="11"/>
        <rFont val="Aptos Narrow"/>
        <family val="2"/>
        <scheme val="minor"/>
      </rPr>
      <t>" attached then show it as "</t>
    </r>
    <r>
      <rPr>
        <b/>
        <sz val="11"/>
        <rFont val="Aptos Narrow"/>
        <family val="2"/>
        <scheme val="minor"/>
      </rPr>
      <t>YES</t>
    </r>
    <r>
      <rPr>
        <sz val="11"/>
        <rFont val="Aptos Narrow"/>
        <family val="2"/>
        <scheme val="minor"/>
      </rPr>
      <t>", else "</t>
    </r>
    <r>
      <rPr>
        <b/>
        <sz val="11"/>
        <rFont val="Aptos Narrow"/>
        <family val="2"/>
        <scheme val="minor"/>
      </rPr>
      <t>No</t>
    </r>
    <r>
      <rPr>
        <sz val="11"/>
        <rFont val="Aptos Narrow"/>
        <family val="2"/>
        <scheme val="minor"/>
      </rPr>
      <t>".</t>
    </r>
  </si>
  <si>
    <t>show all different Freight Order Line Item Description</t>
  </si>
  <si>
    <t>Total Expected Revenue of Origin Charges in USD</t>
  </si>
  <si>
    <t>Total Expected Revenue of Destination Charges in USD</t>
  </si>
  <si>
    <t>Total Expected Revenue of Origin Charges in AED</t>
  </si>
  <si>
    <t>Total Expected Revenue of Destination Charges in AED</t>
  </si>
  <si>
    <t>HEALTH CHECK</t>
  </si>
  <si>
    <t>Type of Package from Cargo Section</t>
  </si>
  <si>
    <t>Show all other PO# seperated by comma except the PO# showing in the EKPOREF#</t>
  </si>
  <si>
    <t>PO CREATION DATE</t>
  </si>
  <si>
    <t xml:space="preserve">ISS custom clearance Perf % </t>
  </si>
  <si>
    <t>ISS Transit Lead Time Perf %</t>
  </si>
  <si>
    <t>ISS container booking performance %</t>
  </si>
  <si>
    <t xml:space="preserve">Supplier committed product readiness performance % </t>
  </si>
  <si>
    <t>ON TIME ORDER PLACEMENT PERF %</t>
  </si>
  <si>
    <r>
      <t>IF(</t>
    </r>
    <r>
      <rPr>
        <b/>
        <sz val="11"/>
        <color theme="1"/>
        <rFont val="Aptos Narrow"/>
        <family val="2"/>
        <scheme val="minor"/>
      </rPr>
      <t>E2E Total LT</t>
    </r>
    <r>
      <rPr>
        <sz val="11"/>
        <color theme="1"/>
        <rFont val="Aptos Narrow"/>
        <family val="2"/>
        <scheme val="minor"/>
      </rPr>
      <t>&gt;0),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E2E Total LT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No of Days Total Comm LT</t>
    </r>
    <r>
      <rPr>
        <sz val="11"/>
        <color theme="1"/>
        <rFont val="Aptos Narrow"/>
        <family val="2"/>
        <scheme val="minor"/>
      </rPr>
      <t>)/</t>
    </r>
    <r>
      <rPr>
        <b/>
        <sz val="11"/>
        <color theme="1"/>
        <rFont val="Aptos Narrow"/>
        <family val="2"/>
        <scheme val="minor"/>
      </rPr>
      <t>No of Days Total Comm LT})*100</t>
    </r>
    <r>
      <rPr>
        <sz val="11"/>
        <color theme="1"/>
        <rFont val="Aptos Narrow"/>
        <family val="2"/>
        <scheme val="minor"/>
      </rPr>
      <t xml:space="preserve">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</si>
  <si>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r>
      <t xml:space="preserve">
If(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&gt;0 AND </t>
    </r>
    <r>
      <rPr>
        <b/>
        <sz val="11"/>
        <color theme="1"/>
        <rFont val="Aptos Narrow"/>
        <family val="2"/>
        <scheme val="minor"/>
      </rPr>
      <t>No. of Days ISS Cont. Booking LT</t>
    </r>
    <r>
      <rPr>
        <sz val="11"/>
        <color theme="1"/>
        <rFont val="Aptos Narrow"/>
        <family val="2"/>
        <scheme val="minor"/>
      </rPr>
      <t>&gt;0)
{
  if(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&lt;=7)
  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=100}
  else
 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)/7})*100
}
else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</si>
  <si>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r>
      <t>if 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OriginCountryName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="") 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 }
else if((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) &lt;= </t>
    </r>
    <r>
      <rPr>
        <b/>
        <sz val="11"/>
        <color theme="1"/>
        <rFont val="Aptos Narrow"/>
        <family val="2"/>
        <scheme val="minor"/>
      </rPr>
      <t>OriginCountryLeadTime</t>
    </r>
    <r>
      <rPr>
        <sz val="11"/>
        <color theme="1"/>
        <rFont val="Aptos Narrow"/>
        <family val="2"/>
        <scheme val="minor"/>
      </rPr>
      <t xml:space="preserve">)
</t>
    </r>
    <r>
      <rPr>
        <b/>
        <sz val="11"/>
        <color theme="1"/>
        <rFont val="Aptos Narrow"/>
        <family val="2"/>
        <scheme val="minor"/>
      </rPr>
      <t xml:space="preserve">     {Value=</t>
    </r>
    <r>
      <rPr>
        <sz val="11"/>
        <color theme="1"/>
        <rFont val="Aptos Narrow"/>
        <family val="2"/>
        <scheme val="minor"/>
      </rPr>
      <t>100}
else if((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) &gt; </t>
    </r>
    <r>
      <rPr>
        <b/>
        <sz val="11"/>
        <color theme="1"/>
        <rFont val="Aptos Narrow"/>
        <family val="2"/>
        <scheme val="minor"/>
      </rPr>
      <t>OriginCountryLeadTime</t>
    </r>
    <r>
      <rPr>
        <sz val="11"/>
        <color theme="1"/>
        <rFont val="Aptos Narrow"/>
        <family val="2"/>
        <scheme val="minor"/>
      </rPr>
      <t>)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ETD</t>
    </r>
    <r>
      <rPr>
        <sz val="11"/>
        <color theme="1"/>
        <rFont val="Aptos Narrow"/>
        <family val="2"/>
        <scheme val="minor"/>
      </rPr>
      <t xml:space="preserve">) / </t>
    </r>
    <r>
      <rPr>
        <b/>
        <sz val="11"/>
        <color theme="1"/>
        <rFont val="Aptos Narrow"/>
        <family val="2"/>
        <scheme val="minor"/>
      </rPr>
      <t>OriginCountryLeadTime</t>
    </r>
    <r>
      <rPr>
        <sz val="11"/>
        <color theme="1"/>
        <rFont val="Aptos Narrow"/>
        <family val="2"/>
        <scheme val="minor"/>
      </rPr>
      <t>})*100</t>
    </r>
  </si>
  <si>
    <r>
      <t>if 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 xml:space="preserve">="" || 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>="") 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=0;}
else if((</t>
    </r>
    <r>
      <rPr>
        <b/>
        <sz val="11"/>
        <color theme="1"/>
        <rFont val="Aptos Narrow"/>
        <family val="2"/>
        <scheme val="minor"/>
      </rPr>
      <t>DeliveryDate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ETA</t>
    </r>
    <r>
      <rPr>
        <sz val="11"/>
        <color theme="1"/>
        <rFont val="Aptos Narrow"/>
        <family val="2"/>
        <scheme val="minor"/>
      </rPr>
      <t xml:space="preserve">) &lt;=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)
</t>
    </r>
    <r>
      <rPr>
        <b/>
        <sz val="11"/>
        <color theme="1"/>
        <rFont val="Aptos Narrow"/>
        <family val="2"/>
        <scheme val="minor"/>
      </rPr>
      <t xml:space="preserve">     {Value</t>
    </r>
    <r>
      <rPr>
        <sz val="11"/>
        <color theme="1"/>
        <rFont val="Aptos Narrow"/>
        <family val="2"/>
        <scheme val="minor"/>
      </rPr>
      <t>=100}
else if((</t>
    </r>
    <r>
      <rPr>
        <b/>
        <sz val="11"/>
        <color theme="1"/>
        <rFont val="Aptos Narrow"/>
        <family val="2"/>
        <scheme val="minor"/>
      </rPr>
      <t>DeliveryDate-ETA</t>
    </r>
    <r>
      <rPr>
        <sz val="11"/>
        <color theme="1"/>
        <rFont val="Aptos Narrow"/>
        <family val="2"/>
        <scheme val="minor"/>
      </rPr>
      <t xml:space="preserve">) &gt;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DeliveryDate-ETA</t>
    </r>
    <r>
      <rPr>
        <sz val="11"/>
        <color theme="1"/>
        <rFont val="Aptos Narrow"/>
        <family val="2"/>
        <scheme val="minor"/>
      </rPr>
      <t xml:space="preserve">) /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})*100</t>
    </r>
  </si>
  <si>
    <r>
      <t>If(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 xml:space="preserve">="" or 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="")
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 }
else if (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&lt;=</t>
    </r>
    <r>
      <rPr>
        <b/>
        <sz val="11"/>
        <color theme="1"/>
        <rFont val="Aptos Narrow"/>
        <family val="2"/>
        <scheme val="minor"/>
      </rPr>
      <t>Supplier Lead Time</t>
    </r>
    <r>
      <rPr>
        <sz val="11"/>
        <color theme="1"/>
        <rFont val="Aptos Narrow"/>
        <family val="2"/>
        <scheme val="minor"/>
      </rPr>
      <t>)
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=100}
else if(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)&gt;</t>
    </r>
    <r>
      <rPr>
        <b/>
        <sz val="11"/>
        <color theme="1"/>
        <rFont val="Aptos Narrow"/>
        <family val="2"/>
        <scheme val="minor"/>
      </rPr>
      <t>Supplier Lead Time</t>
    </r>
    <r>
      <rPr>
        <sz val="11"/>
        <color theme="1"/>
        <rFont val="Aptos Narrow"/>
        <family val="2"/>
        <scheme val="minor"/>
      </rPr>
      <t>)
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Cargo Ready Date Actual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)/</t>
    </r>
    <r>
      <rPr>
        <b/>
        <sz val="11"/>
        <color theme="1"/>
        <rFont val="Aptos Narrow"/>
        <family val="2"/>
        <scheme val="minor"/>
      </rPr>
      <t>Supplier Lead Time</t>
    </r>
    <r>
      <rPr>
        <sz val="11"/>
        <color theme="1"/>
        <rFont val="Aptos Narrow"/>
        <family val="2"/>
        <scheme val="minor"/>
      </rPr>
      <t>})*100
else
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=""}</t>
    </r>
  </si>
  <si>
    <r>
      <t>If(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&gt;0) then
{ 
    if( (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 xml:space="preserve">)&lt;=5) then 
</t>
    </r>
    <r>
      <rPr>
        <b/>
        <sz val="11"/>
        <color theme="1"/>
        <rFont val="Aptos Narrow"/>
        <family val="2"/>
        <scheme val="minor"/>
      </rPr>
      <t xml:space="preserve">           </t>
    </r>
    <r>
      <rPr>
        <sz val="11"/>
        <color theme="1"/>
        <rFont val="Aptos Narrow"/>
        <family val="2"/>
        <scheme val="minor"/>
      </rPr>
      <t xml:space="preserve">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=100}
   else
         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=(1-ABS(</t>
    </r>
    <r>
      <rPr>
        <b/>
        <sz val="11"/>
        <color theme="1"/>
        <rFont val="Aptos Narrow"/>
        <family val="2"/>
        <scheme val="minor"/>
      </rPr>
      <t>PO_APP_DT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REQ_APP_DT</t>
    </r>
    <r>
      <rPr>
        <sz val="11"/>
        <color theme="1"/>
        <rFont val="Aptos Narrow"/>
        <family val="2"/>
        <scheme val="minor"/>
      </rPr>
      <t>)/5})*100
}
else 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</t>
    </r>
  </si>
  <si>
    <t>Total Expected Revenue of Ocean Freight &amp; Air Freight Charges in USD</t>
  </si>
  <si>
    <t>Total Expected Revenue of Ocean Freight &amp; Air Freight Charges in AED</t>
  </si>
  <si>
    <t>DAX</t>
  </si>
  <si>
    <t>SPO /Inv Val(AED)</t>
  </si>
  <si>
    <r>
      <rPr>
        <b/>
        <sz val="11"/>
        <color theme="1"/>
        <rFont val="Aptos Narrow"/>
        <family val="2"/>
      </rPr>
      <t xml:space="preserve">•  ETD </t>
    </r>
    <r>
      <rPr>
        <sz val="11"/>
        <color theme="1"/>
        <rFont val="Aptos Narrow"/>
        <family val="2"/>
      </rPr>
      <t>=</t>
    </r>
    <r>
      <rPr>
        <b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PTD(Wakeo)</t>
    </r>
    <r>
      <rPr>
        <b/>
        <sz val="11"/>
        <color theme="1"/>
        <rFont val="Aptos Narrow"/>
        <family val="2"/>
      </rPr>
      <t xml:space="preserve">
•  Cargo Ready Date Actual = </t>
    </r>
    <r>
      <rPr>
        <sz val="11"/>
        <color theme="1"/>
        <rFont val="Aptos Narrow"/>
        <family val="2"/>
      </rPr>
      <t>CRD</t>
    </r>
    <r>
      <rPr>
        <b/>
        <sz val="11"/>
        <color theme="1"/>
        <rFont val="Aptos Narrow"/>
        <family val="2"/>
      </rPr>
      <t xml:space="preserve">
• </t>
    </r>
    <r>
      <rPr>
        <sz val="11"/>
        <color rgb="FFFF0000"/>
        <rFont val="Aptos Narrow"/>
        <family val="2"/>
      </rPr>
      <t>Show the Value sufffixed with symbol " %"</t>
    </r>
  </si>
  <si>
    <r>
      <rPr>
        <b/>
        <sz val="11"/>
        <color theme="1"/>
        <rFont val="Aptos Narrow"/>
        <family val="2"/>
      </rPr>
      <t xml:space="preserve">• OriginCountryName </t>
    </r>
    <r>
      <rPr>
        <sz val="11"/>
        <color theme="1"/>
        <rFont val="Aptos Narrow"/>
        <family val="2"/>
      </rPr>
      <t xml:space="preserve">= Origin Port/Airport Country Name
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</t>
    </r>
    <r>
      <rPr>
        <b/>
        <sz val="11"/>
        <color theme="1"/>
        <rFont val="Aptos Narrow"/>
        <family val="2"/>
      </rPr>
      <t xml:space="preserve">
• OriginCountryLeadTime </t>
    </r>
    <r>
      <rPr>
        <sz val="11"/>
        <color theme="1"/>
        <rFont val="Aptos Narrow"/>
        <family val="2"/>
      </rPr>
      <t xml:space="preserve">= Lead Time against Corresponding Country in Country Transit Time Master
• </t>
    </r>
    <r>
      <rPr>
        <sz val="11"/>
        <color rgb="FFFF0000"/>
        <rFont val="Aptos Narrow"/>
        <family val="2"/>
      </rPr>
      <t>Show the Value sufffixed with symbol " %"</t>
    </r>
  </si>
  <si>
    <r>
      <t xml:space="preserve">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
• </t>
    </r>
    <r>
      <rPr>
        <sz val="11"/>
        <color rgb="FFFF0000"/>
        <rFont val="Aptos Narrow"/>
        <family val="2"/>
      </rPr>
      <t>Show the Value sufffixed with symbol " %"</t>
    </r>
  </si>
  <si>
    <r>
      <t>•</t>
    </r>
    <r>
      <rPr>
        <sz val="11"/>
        <color rgb="FFFF0000"/>
        <rFont val="Aptos Narrow"/>
        <family val="2"/>
      </rPr>
      <t xml:space="preserve"> Show the Value sufffixed with symbol " %"</t>
    </r>
  </si>
  <si>
    <r>
      <t xml:space="preserve">• </t>
    </r>
    <r>
      <rPr>
        <b/>
        <sz val="11"/>
        <color theme="1"/>
        <rFont val="Aptos Narrow"/>
        <family val="2"/>
      </rPr>
      <t>STATUS</t>
    </r>
    <r>
      <rPr>
        <sz val="11"/>
        <color theme="1"/>
        <rFont val="Aptos Narrow"/>
        <family val="2"/>
      </rPr>
      <t xml:space="preserve">=Status Update
•  </t>
    </r>
    <r>
      <rPr>
        <b/>
        <sz val="11"/>
        <color theme="1"/>
        <rFont val="Aptos Narrow"/>
        <family val="2"/>
      </rPr>
      <t>Supplier Lead Time</t>
    </r>
    <r>
      <rPr>
        <sz val="11"/>
        <color theme="1"/>
        <rFont val="Aptos Narrow"/>
        <family val="2"/>
      </rPr>
      <t xml:space="preserve"> = Lead Time against Corresponding supplier in Supplier Lead Time Master
• </t>
    </r>
    <r>
      <rPr>
        <b/>
        <sz val="11"/>
        <color theme="1"/>
        <rFont val="Aptos Narrow"/>
        <family val="2"/>
      </rPr>
      <t>OriginCountryLeadTime</t>
    </r>
    <r>
      <rPr>
        <sz val="11"/>
        <color theme="1"/>
        <rFont val="Aptos Narrow"/>
        <family val="2"/>
      </rPr>
      <t xml:space="preserve"> = Lead Time against Corresponding Country in Country Transit Time Master</t>
    </r>
  </si>
  <si>
    <r>
      <t xml:space="preserve">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</t>
    </r>
  </si>
  <si>
    <r>
      <t xml:space="preserve">•  </t>
    </r>
    <r>
      <rPr>
        <b/>
        <sz val="11"/>
        <color theme="1"/>
        <rFont val="Aptos Narrow"/>
        <family val="2"/>
      </rPr>
      <t>REVISED ETD</t>
    </r>
    <r>
      <rPr>
        <sz val="11"/>
        <color theme="1"/>
        <rFont val="Aptos Narrow"/>
        <family val="2"/>
      </rPr>
      <t xml:space="preserve"> = ETD
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</t>
    </r>
  </si>
  <si>
    <r>
      <rPr>
        <b/>
        <sz val="11"/>
        <color theme="1"/>
        <rFont val="Aptos Narrow"/>
        <family val="2"/>
      </rPr>
      <t xml:space="preserve">•  REVISED ETA </t>
    </r>
    <r>
      <rPr>
        <sz val="11"/>
        <color theme="1"/>
        <rFont val="Aptos Narrow"/>
        <family val="2"/>
      </rPr>
      <t xml:space="preserve">= ETA
</t>
    </r>
    <r>
      <rPr>
        <b/>
        <sz val="11"/>
        <color theme="1"/>
        <rFont val="Aptos Narrow"/>
        <family val="2"/>
      </rPr>
      <t xml:space="preserve">•  ETA </t>
    </r>
    <r>
      <rPr>
        <sz val="11"/>
        <color theme="1"/>
        <rFont val="Aptos Narrow"/>
        <family val="2"/>
      </rPr>
      <t>= PTA(Wakeo)</t>
    </r>
  </si>
  <si>
    <r>
      <t xml:space="preserve">•  </t>
    </r>
    <r>
      <rPr>
        <b/>
        <sz val="11"/>
        <color theme="1"/>
        <rFont val="Aptos Narrow"/>
        <family val="2"/>
      </rPr>
      <t>REVISED ETD</t>
    </r>
    <r>
      <rPr>
        <sz val="11"/>
        <color theme="1"/>
        <rFont val="Aptos Narrow"/>
        <family val="2"/>
      </rPr>
      <t xml:space="preserve"> = ETD
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</t>
    </r>
    <r>
      <rPr>
        <b/>
        <sz val="11"/>
        <color theme="1"/>
        <rFont val="Aptos Narrow"/>
        <family val="2"/>
      </rPr>
      <t xml:space="preserve"> REVISED ETA</t>
    </r>
    <r>
      <rPr>
        <sz val="11"/>
        <color theme="1"/>
        <rFont val="Aptos Narrow"/>
        <family val="2"/>
      </rPr>
      <t xml:space="preserve"> = ETA
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</t>
    </r>
  </si>
  <si>
    <r>
      <t xml:space="preserve">•  </t>
    </r>
    <r>
      <rPr>
        <b/>
        <sz val="11"/>
        <color theme="1"/>
        <rFont val="Aptos Narrow"/>
        <family val="2"/>
      </rPr>
      <t xml:space="preserve">REVISED ETA </t>
    </r>
    <r>
      <rPr>
        <sz val="11"/>
        <color theme="1"/>
        <rFont val="Aptos Narrow"/>
        <family val="2"/>
      </rPr>
      <t xml:space="preserve">= ETA
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</t>
    </r>
  </si>
  <si>
    <t>Ancilliary Charge Form No</t>
  </si>
  <si>
    <t>Payment Status of the InvoiceDebit Note No</t>
  </si>
  <si>
    <t>InvoiceDebit Note No of the Ancilliary Charges</t>
  </si>
  <si>
    <t>InvoiceDebit Note No of Normal Charges</t>
  </si>
  <si>
    <t>Payment Status against the value on Additional Invoice#(ADDL INV #) column.</t>
  </si>
  <si>
    <t>ORG COUNTRY</t>
  </si>
  <si>
    <t>ORG REGION</t>
  </si>
  <si>
    <t>PO TO CRD (Supplier Response)</t>
  </si>
  <si>
    <t>Extra Info for those Charges seperated by "|" which is configured in COMS Ancillary Charge Master based on Service</t>
  </si>
  <si>
    <r>
      <t>If GRN# recorded then show it as "</t>
    </r>
    <r>
      <rPr>
        <b/>
        <sz val="11"/>
        <color theme="1"/>
        <rFont val="Aptos Narrow"/>
        <family val="2"/>
        <scheme val="minor"/>
      </rPr>
      <t>Complete"</t>
    </r>
    <r>
      <rPr>
        <sz val="11"/>
        <color theme="1"/>
        <rFont val="Aptos Narrow"/>
        <family val="2"/>
        <scheme val="minor"/>
      </rPr>
      <t xml:space="preserve"> else show as "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>".</t>
    </r>
  </si>
  <si>
    <r>
      <t xml:space="preserve">Pick from Billing Month of  the field  </t>
    </r>
    <r>
      <rPr>
        <b/>
        <sz val="11"/>
        <color theme="1"/>
        <rFont val="Aptos Narrow"/>
        <family val="2"/>
        <scheme val="minor"/>
      </rPr>
      <t>"ADDL INV #"</t>
    </r>
    <r>
      <rPr>
        <sz val="11"/>
        <color theme="1"/>
        <rFont val="Aptos Narrow"/>
        <family val="2"/>
        <scheme val="minor"/>
      </rPr>
      <t xml:space="preserve"> generated from FOCUS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</si>
  <si>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Empty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 with Single PO# exists)</t>
    </r>
    <r>
      <rPr>
        <sz val="11"/>
        <rFont val="Aptos Narrow"/>
        <family val="2"/>
        <scheme val="minor"/>
      </rPr>
      <t xml:space="preserve">
Empty
</t>
    </r>
    <r>
      <rPr>
        <b/>
        <u/>
        <sz val="11"/>
        <rFont val="Aptos Narrow"/>
        <family val="2"/>
        <scheme val="minor"/>
      </rPr>
      <t>Case 3</t>
    </r>
    <r>
      <rPr>
        <b/>
        <sz val="11"/>
        <rFont val="Aptos Narrow"/>
        <family val="2"/>
        <scheme val="minor"/>
      </rPr>
      <t xml:space="preserve"> (Freight Order line with multiple PO# exists)</t>
    </r>
    <r>
      <rPr>
        <sz val="11"/>
        <rFont val="Aptos Narrow"/>
        <family val="2"/>
        <scheme val="minor"/>
      </rPr>
      <t xml:space="preserve">
Display all other PO# values associated with the Freight Order, separated by commas, excluding the PO# shown in the EKPOREF# column.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</si>
  <si>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corresponding PO line item Description.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all distinct PO line item descriptions associated with the Freight Order, separated by the "|" symbol.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</si>
  <si>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Empty.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the Freight Order Number associated with the corresponding shipment.</t>
    </r>
  </si>
  <si>
    <t>Shipment Serial No for the respective Freight Order No</t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</si>
  <si>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REQ_APP_DT of the respective PO Line item.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the REQ_APP_DT of the PO number shown in the EKPOREF# column.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</si>
  <si>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PO_APP_DT of the respective PO Line item.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
</t>
    </r>
    <r>
      <rPr>
        <sz val="11"/>
        <rFont val="Aptos Narrow"/>
        <family val="2"/>
        <scheme val="minor"/>
      </rPr>
      <t>Display the PO_APP_DT of the PO number referenced in the EKPOREF# column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</si>
  <si>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PO_DATE of the respective PO Line item.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the PO_DATE of the PO# shown in the EKPOREF# column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</si>
  <si>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PO_APP_DT + 2 Days of the respective PO Line item.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the value of PO_APP_DT + 2 days for the PO# shown in the EKPOREF# column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</si>
  <si>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PO# line items with Remaining Quantity&gt;0 )</t>
    </r>
    <r>
      <rPr>
        <sz val="11"/>
        <rFont val="Aptos Narrow"/>
        <family val="2"/>
        <scheme val="minor"/>
      </rPr>
      <t xml:space="preserve">
Show the CURRENT_PO_PROMISED_DT of the respective PO Line item.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Display the latest CURRENT_PO_PROMISED_DT from the PO Line Items associated with the PO# shown in the EKPOREF# column.</t>
    </r>
  </si>
  <si>
    <r>
      <rPr>
        <b/>
        <u/>
        <sz val="11"/>
        <color theme="1"/>
        <rFont val="Aptos Narrow"/>
        <family val="2"/>
        <scheme val="minor"/>
      </rPr>
      <t>Case 1</t>
    </r>
    <r>
      <rPr>
        <sz val="11"/>
        <color theme="1"/>
        <rFont val="Aptos Narrow"/>
        <family val="2"/>
        <scheme val="minor"/>
      </rPr>
      <t xml:space="preserve"> (PO# line items with Remaining Quantity&gt;0 ) 
   •  </t>
    </r>
    <r>
      <rPr>
        <b/>
        <sz val="11"/>
        <color theme="1"/>
        <rFont val="Aptos Narrow"/>
        <family val="2"/>
        <scheme val="minor"/>
      </rPr>
      <t>INNER QUANTITY</t>
    </r>
    <r>
      <rPr>
        <sz val="11"/>
        <color theme="1"/>
        <rFont val="Aptos Narrow"/>
        <family val="2"/>
        <scheme val="minor"/>
      </rPr>
      <t xml:space="preserve"> will be </t>
    </r>
    <r>
      <rPr>
        <b/>
        <sz val="11"/>
        <color theme="1"/>
        <rFont val="Aptos Narrow"/>
        <family val="2"/>
        <scheme val="minor"/>
      </rPr>
      <t>Remaining Quantity</t>
    </r>
    <r>
      <rPr>
        <sz val="11"/>
        <color theme="1"/>
        <rFont val="Aptos Narrow"/>
        <family val="2"/>
        <scheme val="minor"/>
      </rPr>
      <t xml:space="preserve"> of that PO line item 
</t>
    </r>
    <r>
      <rPr>
        <b/>
        <u/>
        <sz val="11"/>
        <color theme="1"/>
        <rFont val="Aptos Narrow"/>
        <family val="2"/>
        <scheme val="minor"/>
      </rPr>
      <t>Case 2</t>
    </r>
    <r>
      <rPr>
        <sz val="11"/>
        <color theme="1"/>
        <rFont val="Aptos Narrow"/>
        <family val="2"/>
        <scheme val="minor"/>
      </rPr>
      <t xml:space="preserve"> (Freight Order line) 
   •  If the Freight Order contains a single PO number, </t>
    </r>
    <r>
      <rPr>
        <b/>
        <sz val="11"/>
        <color theme="1"/>
        <rFont val="Aptos Narrow"/>
        <family val="2"/>
        <scheme val="minor"/>
      </rPr>
      <t>Inner Quantity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Total Used Quantity</t>
    </r>
    <r>
      <rPr>
        <sz val="11"/>
        <color theme="1"/>
        <rFont val="Aptos Narrow"/>
        <family val="2"/>
        <scheme val="minor"/>
      </rPr>
      <t xml:space="preserve"> for the entire Freight Order.
   •  If the Freight Order includes multiple PO numbers, display the quantity in the following format:
"PO# - Total Used Quantity of that PO | PO# - Total Used Quantity of that PO | ..."
Example:
</t>
    </r>
    <r>
      <rPr>
        <b/>
        <sz val="11"/>
        <color theme="1"/>
        <rFont val="Aptos Narrow"/>
        <family val="2"/>
        <scheme val="minor"/>
      </rPr>
      <t>415007844-144 | 415007844-200 | 415007844-600 | 423005561-520</t>
    </r>
  </si>
  <si>
    <r>
      <rPr>
        <b/>
        <u/>
        <sz val="11"/>
        <color theme="1"/>
        <rFont val="Aptos Narrow"/>
        <family val="2"/>
      </rPr>
      <t>Case 1</t>
    </r>
    <r>
      <rPr>
        <sz val="11"/>
        <color theme="1"/>
        <rFont val="Aptos Narrow"/>
        <family val="2"/>
      </rPr>
      <t xml:space="preserve"> ( PO# line items with Remaining Quantity&gt;0 )
</t>
    </r>
    <r>
      <rPr>
        <b/>
        <sz val="11"/>
        <color theme="1"/>
        <rFont val="Aptos Narrow"/>
        <family val="2"/>
      </rPr>
      <t>Current Promise Date</t>
    </r>
    <r>
      <rPr>
        <sz val="11"/>
        <color theme="1"/>
        <rFont val="Aptos Narrow"/>
        <family val="2"/>
      </rPr>
      <t xml:space="preserve">=CURRENT_PO_PROMISED_DT of the respective PO Line item.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Current Promise Date</t>
    </r>
    <r>
      <rPr>
        <sz val="11"/>
        <color theme="1"/>
        <rFont val="Aptos Narrow"/>
        <family val="2"/>
      </rPr>
      <t xml:space="preserve">= latest CURRENT_PO_PROMISED_DT from the PO Line Items associated with the PO# shown in the EKPOREF# column.
</t>
    </r>
  </si>
  <si>
    <r>
      <rPr>
        <b/>
        <u/>
        <sz val="11"/>
        <color theme="1"/>
        <rFont val="Aptos Narrow"/>
        <family val="2"/>
      </rPr>
      <t>Case 1</t>
    </r>
    <r>
      <rPr>
        <sz val="11"/>
        <color theme="1"/>
        <rFont val="Aptos Narrow"/>
        <family val="2"/>
      </rPr>
      <t xml:space="preserve"> ( PO# line items with Remaining Quantity&gt;0 )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= REQ_APP_DT of the respective PO Line item.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 = REQ_APP_DT of the PO number shown in the EKPOREF# column.
</t>
    </r>
  </si>
  <si>
    <r>
      <rPr>
        <b/>
        <u/>
        <sz val="11"/>
        <color theme="1"/>
        <rFont val="Aptos Narrow"/>
        <family val="2"/>
      </rPr>
      <t>Case 1</t>
    </r>
    <r>
      <rPr>
        <sz val="11"/>
        <color theme="1"/>
        <rFont val="Aptos Narrow"/>
        <family val="2"/>
      </rPr>
      <t xml:space="preserve"> ( PO# line items with Remaining Quantity&gt;0 )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= REQ_APP_DT of the respective PO Line item.
</t>
    </r>
    <r>
      <rPr>
        <b/>
        <sz val="11"/>
        <color theme="1"/>
        <rFont val="Aptos Narrow"/>
        <family val="2"/>
      </rPr>
      <t>PO_APP_DT</t>
    </r>
    <r>
      <rPr>
        <sz val="11"/>
        <color theme="1"/>
        <rFont val="Aptos Narrow"/>
        <family val="2"/>
      </rPr>
      <t xml:space="preserve">= PO_APP_DT of the respective PO Line item.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 = REQ_APP_DT of the PO number shown in the EKPOREF# column.
</t>
    </r>
    <r>
      <rPr>
        <b/>
        <sz val="11"/>
        <color theme="1"/>
        <rFont val="Aptos Narrow"/>
        <family val="2"/>
      </rPr>
      <t>PO_APP_DT</t>
    </r>
    <r>
      <rPr>
        <sz val="11"/>
        <color theme="1"/>
        <rFont val="Aptos Narrow"/>
        <family val="2"/>
      </rPr>
      <t xml:space="preserve">= PO_APP_DT of the PO number referenced in the EKPOREF# column
</t>
    </r>
  </si>
  <si>
    <r>
      <rPr>
        <b/>
        <u/>
        <sz val="11"/>
        <color theme="1"/>
        <rFont val="Aptos Narrow"/>
        <family val="2"/>
      </rPr>
      <t>Case 1</t>
    </r>
    <r>
      <rPr>
        <sz val="11"/>
        <color theme="1"/>
        <rFont val="Aptos Narrow"/>
        <family val="2"/>
      </rPr>
      <t xml:space="preserve"> ( PO# line items with Remaining Quantity&gt;0 )
</t>
    </r>
    <r>
      <rPr>
        <b/>
        <sz val="11"/>
        <color theme="1"/>
        <rFont val="Aptos Narrow"/>
        <family val="2"/>
      </rPr>
      <t>PO_APP_DT</t>
    </r>
    <r>
      <rPr>
        <sz val="11"/>
        <color theme="1"/>
        <rFont val="Aptos Narrow"/>
        <family val="2"/>
      </rPr>
      <t xml:space="preserve">= PO_APP_DT of the respective PO Line item.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PO_APP_DT</t>
    </r>
    <r>
      <rPr>
        <sz val="11"/>
        <color theme="1"/>
        <rFont val="Aptos Narrow"/>
        <family val="2"/>
      </rPr>
      <t xml:space="preserve">= PO_APP_DT of the PO number referenced in the EKPOREF# column
</t>
    </r>
  </si>
  <si>
    <r>
      <t xml:space="preserve">•  </t>
    </r>
    <r>
      <rPr>
        <b/>
        <sz val="11"/>
        <color theme="1"/>
        <rFont val="Aptos Narrow"/>
        <family val="2"/>
      </rPr>
      <t>REVISED ETD</t>
    </r>
    <r>
      <rPr>
        <sz val="11"/>
        <color theme="1"/>
        <rFont val="Aptos Narrow"/>
        <family val="2"/>
      </rPr>
      <t xml:space="preserve"> = ETD
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 </t>
    </r>
    <r>
      <rPr>
        <b/>
        <sz val="11"/>
        <color theme="1"/>
        <rFont val="Aptos Narrow"/>
        <family val="2"/>
      </rPr>
      <t>Cargo Ready Date Actual</t>
    </r>
    <r>
      <rPr>
        <sz val="11"/>
        <color theme="1"/>
        <rFont val="Aptos Narrow"/>
        <family val="2"/>
      </rPr>
      <t xml:space="preserve"> = CRD</t>
    </r>
  </si>
  <si>
    <r>
      <t xml:space="preserve">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
</t>
    </r>
    <r>
      <rPr>
        <b/>
        <u/>
        <sz val="11"/>
        <color theme="1"/>
        <rFont val="Aptos Narrow"/>
        <family val="2"/>
      </rPr>
      <t>Case 1</t>
    </r>
    <r>
      <rPr>
        <sz val="11"/>
        <color theme="1"/>
        <rFont val="Aptos Narrow"/>
        <family val="2"/>
      </rPr>
      <t xml:space="preserve"> ( PO# line items with Remaining Quantity&gt;0 )
</t>
    </r>
    <r>
      <rPr>
        <b/>
        <sz val="11"/>
        <color theme="1"/>
        <rFont val="Aptos Narrow"/>
        <family val="2"/>
      </rPr>
      <t>CURRENT_PO_PROMISED_DT</t>
    </r>
    <r>
      <rPr>
        <sz val="11"/>
        <color theme="1"/>
        <rFont val="Aptos Narrow"/>
        <family val="2"/>
      </rPr>
      <t xml:space="preserve">=CURRENT_PO_PROMISED_DT of the respective PO Line item.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CURRENT_PO_PROMISED_DT</t>
    </r>
    <r>
      <rPr>
        <sz val="11"/>
        <color theme="1"/>
        <rFont val="Aptos Narrow"/>
        <family val="2"/>
      </rPr>
      <t>= latest CURRENT_PO_PROMISED_DT from the PO Line Items associated with the PO# shown in the EKPOREF# column.</t>
    </r>
  </si>
  <si>
    <r>
      <rPr>
        <b/>
        <u/>
        <sz val="11"/>
        <color theme="1"/>
        <rFont val="Aptos Narrow"/>
        <family val="2"/>
        <scheme val="minor"/>
      </rPr>
      <t>Case 1</t>
    </r>
    <r>
      <rPr>
        <b/>
        <sz val="11"/>
        <color theme="1"/>
        <rFont val="Aptos Narrow"/>
        <family val="2"/>
        <scheme val="minor"/>
      </rPr>
      <t>(PO# line items with Remaining Quantity&gt;0 or Freight Order line with Single PO# exists )</t>
    </r>
    <r>
      <rPr>
        <b/>
        <u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Show the respective PO Remarks of that PO# Line Item.
</t>
    </r>
    <r>
      <rPr>
        <b/>
        <u/>
        <sz val="11"/>
        <color theme="1"/>
        <rFont val="Aptos Narrow"/>
        <family val="2"/>
        <scheme val="minor"/>
      </rPr>
      <t>Case 2</t>
    </r>
    <r>
      <rPr>
        <b/>
        <sz val="11"/>
        <color theme="1"/>
        <rFont val="Aptos Narrow"/>
        <family val="2"/>
        <scheme val="minor"/>
      </rPr>
      <t xml:space="preserve"> (Freight Order line with multiple PO# exists)</t>
    </r>
    <r>
      <rPr>
        <sz val="11"/>
        <color theme="1"/>
        <rFont val="Aptos Narrow"/>
        <family val="2"/>
        <scheme val="minor"/>
      </rPr>
      <t xml:space="preserve">
Display all the remarks associated with the PO line items included in the Freight Order, separated by a " | " delimiter.</t>
    </r>
  </si>
  <si>
    <t>SPO No under MBL/MAWB Reference</t>
  </si>
  <si>
    <t>Front End Field Name</t>
  </si>
  <si>
    <t>Back End Field Name</t>
  </si>
  <si>
    <t>contact_branch(Shipment Details API)</t>
  </si>
  <si>
    <t>service(Shipment Details API)</t>
  </si>
  <si>
    <t>serial_no(Shipment Details API)</t>
  </si>
  <si>
    <t>delivery_date(Shipment Details API)</t>
  </si>
  <si>
    <t>house_no(Shipment Details API)</t>
  </si>
  <si>
    <t>master_no(Shipment Details API)</t>
  </si>
  <si>
    <t>equipment_details.*.equipment_no(Shipment Details API)</t>
  </si>
  <si>
    <t>master_spo_no(Shipment Details API)</t>
  </si>
  <si>
    <t>show both port code and name</t>
  </si>
  <si>
    <t>equipment(Shipment Details API)</t>
  </si>
  <si>
    <r>
      <t xml:space="preserve">Total Count of 40 ft </t>
    </r>
    <r>
      <rPr>
        <b/>
        <sz val="11"/>
        <color theme="1"/>
        <rFont val="Aptos Narrow"/>
        <family val="2"/>
        <scheme val="minor"/>
      </rPr>
      <t>equipment_details.*.container_type</t>
    </r>
    <r>
      <rPr>
        <sz val="11"/>
        <color theme="1"/>
        <rFont val="Aptos Narrow"/>
        <family val="2"/>
        <scheme val="minor"/>
      </rPr>
      <t>(Shipment Details API)</t>
    </r>
  </si>
  <si>
    <r>
      <t xml:space="preserve">Total Count of 20 ft </t>
    </r>
    <r>
      <rPr>
        <b/>
        <sz val="11"/>
        <color theme="1"/>
        <rFont val="Aptos Narrow"/>
        <family val="2"/>
        <scheme val="minor"/>
      </rPr>
      <t>equipment_details.*.container_type</t>
    </r>
    <r>
      <rPr>
        <sz val="11"/>
        <color theme="1"/>
        <rFont val="Aptos Narrow"/>
        <family val="2"/>
        <scheme val="minor"/>
      </rPr>
      <t>(Shipment Details API)</t>
    </r>
  </si>
  <si>
    <r>
      <t xml:space="preserve">Calculate total Teus based on </t>
    </r>
    <r>
      <rPr>
        <b/>
        <sz val="11"/>
        <color theme="1"/>
        <rFont val="Aptos Narrow"/>
        <family val="2"/>
        <scheme val="minor"/>
      </rPr>
      <t xml:space="preserve">equipment_details </t>
    </r>
    <r>
      <rPr>
        <sz val="11"/>
        <color theme="1"/>
        <rFont val="Aptos Narrow"/>
        <family val="2"/>
        <scheme val="minor"/>
      </rPr>
      <t>array(Shipment Details API)</t>
    </r>
  </si>
  <si>
    <r>
      <rPr>
        <b/>
        <sz val="11"/>
        <rFont val="Aptos Narrow"/>
        <family val="2"/>
        <scheme val="minor"/>
      </rPr>
      <t>Cargo Ready Date</t>
    </r>
    <r>
      <rPr>
        <sz val="11"/>
        <rFont val="Aptos Narrow"/>
        <family val="2"/>
        <scheme val="minor"/>
      </rPr>
      <t xml:space="preserve"> from focus__shipments table</t>
    </r>
  </si>
  <si>
    <t>pickup_date(Shipment Details API)</t>
  </si>
  <si>
    <t>etd_wakeo_date(Shipment Details API)</t>
  </si>
  <si>
    <t>etd_date(Shipment Details API)</t>
  </si>
  <si>
    <t>eta_wakeo_date(Shipment Details API)</t>
  </si>
  <si>
    <t>eta_date(Shipment Details API)</t>
  </si>
  <si>
    <t>D/O Expiry Date</t>
  </si>
  <si>
    <t>New Field needs to create in FOCUS Production environment by Bendetta as "D/O Expiry Date"</t>
  </si>
  <si>
    <t>gross_volume(Shipment Details API)</t>
  </si>
  <si>
    <t>gross_weight(Shipment Details API)</t>
  </si>
  <si>
    <t>chargeable_weight(Shipment Details API)</t>
  </si>
  <si>
    <t>package_count(Shipment Details API)</t>
  </si>
  <si>
    <r>
      <t>From Array</t>
    </r>
    <r>
      <rPr>
        <b/>
        <sz val="11"/>
        <color theme="1"/>
        <rFont val="Aptos Narrow"/>
        <family val="2"/>
        <scheme val="minor"/>
      </rPr>
      <t xml:space="preserve"> cargo.*.package_type</t>
    </r>
    <r>
      <rPr>
        <sz val="11"/>
        <color theme="1"/>
        <rFont val="Aptos Narrow"/>
        <family val="2"/>
        <scheme val="minor"/>
      </rPr>
      <t>(Shipment Details API)</t>
    </r>
  </si>
  <si>
    <r>
      <t xml:space="preserve">Field </t>
    </r>
    <r>
      <rPr>
        <b/>
        <sz val="11"/>
        <rFont val="Aptos Narrow"/>
        <family val="2"/>
        <scheme val="minor"/>
      </rPr>
      <t>Label</t>
    </r>
    <r>
      <rPr>
        <sz val="11"/>
        <rFont val="Aptos Narrow"/>
        <family val="2"/>
        <scheme val="minor"/>
      </rPr>
      <t xml:space="preserve"> with Value="</t>
    </r>
    <r>
      <rPr>
        <b/>
        <sz val="11"/>
        <rFont val="Aptos Narrow"/>
        <family val="2"/>
        <scheme val="minor"/>
      </rPr>
      <t>AGI</t>
    </r>
    <r>
      <rPr>
        <sz val="11"/>
        <rFont val="Aptos Narrow"/>
        <family val="2"/>
        <scheme val="minor"/>
      </rPr>
      <t>" from Focus attachments API  then show it as "</t>
    </r>
    <r>
      <rPr>
        <b/>
        <sz val="11"/>
        <rFont val="Aptos Narrow"/>
        <family val="2"/>
        <scheme val="minor"/>
      </rPr>
      <t>YES</t>
    </r>
    <r>
      <rPr>
        <sz val="11"/>
        <rFont val="Aptos Narrow"/>
        <family val="2"/>
        <scheme val="minor"/>
      </rPr>
      <t>", else "</t>
    </r>
    <r>
      <rPr>
        <b/>
        <sz val="11"/>
        <rFont val="Aptos Narrow"/>
        <family val="2"/>
        <scheme val="minor"/>
      </rPr>
      <t>No</t>
    </r>
    <r>
      <rPr>
        <sz val="11"/>
        <rFont val="Aptos Narrow"/>
        <family val="2"/>
        <scheme val="minor"/>
      </rPr>
      <t>".</t>
    </r>
  </si>
  <si>
    <r>
      <t>Total Expected Revenue  from</t>
    </r>
    <r>
      <rPr>
        <b/>
        <sz val="11"/>
        <color theme="1"/>
        <rFont val="Aptos Narrow"/>
        <family val="2"/>
        <scheme val="minor"/>
      </rPr>
      <t xml:space="preserve"> focus__costs_revenues_items table </t>
    </r>
    <r>
      <rPr>
        <sz val="11"/>
        <color theme="1"/>
        <rFont val="Aptos Narrow"/>
        <family val="2"/>
        <scheme val="minor"/>
      </rPr>
      <t>for the Charges which is configured in COMS Ancillary Charge Master based on Service(Air inbound,air outbound,sea inbound etc) in AED</t>
    </r>
  </si>
  <si>
    <t>Extra Info from focus__costs_revenues_items table for those Charges which is configured in COMS Ancillary Charge Master based on Service seperated by "|"</t>
  </si>
  <si>
    <r>
      <t>Extra Info from</t>
    </r>
    <r>
      <rPr>
        <b/>
        <sz val="11"/>
        <color theme="1"/>
        <rFont val="Aptos Narrow"/>
        <family val="2"/>
        <scheme val="minor"/>
      </rPr>
      <t xml:space="preserve"> focus__costs_revenues_items table </t>
    </r>
    <r>
      <rPr>
        <sz val="11"/>
        <color theme="1"/>
        <rFont val="Aptos Narrow"/>
        <family val="2"/>
        <scheme val="minor"/>
      </rPr>
      <t>for the Charges which is configured in COMS Ancillary Charge Master based on Service(Air inbound,air outbound,sea inbound etc) in AED seperated by "|"</t>
    </r>
  </si>
  <si>
    <r>
      <t xml:space="preserve">Total Expected Revenue of Charges  from </t>
    </r>
    <r>
      <rPr>
        <b/>
        <sz val="11"/>
        <color theme="1"/>
        <rFont val="Aptos Narrow"/>
        <family val="2"/>
        <scheme val="minor"/>
      </rPr>
      <t>focus__costs_revenues_items table</t>
    </r>
    <r>
      <rPr>
        <sz val="11"/>
        <color theme="1"/>
        <rFont val="Aptos Narrow"/>
        <family val="2"/>
        <scheme val="minor"/>
      </rPr>
      <t xml:space="preserve">  which is configured in COMS Ancillary Charge Master based on Service in AED</t>
    </r>
  </si>
  <si>
    <r>
      <t>Month Name with Year(Eg: Jun-2025) for the column</t>
    </r>
    <r>
      <rPr>
        <b/>
        <sz val="11"/>
        <color theme="1"/>
        <rFont val="Aptos Narrow"/>
        <family val="2"/>
        <scheme val="minor"/>
      </rPr>
      <t xml:space="preserve"> Issue Date </t>
    </r>
    <r>
      <rPr>
        <sz val="11"/>
        <color theme="1"/>
        <rFont val="Aptos Narrow"/>
        <family val="2"/>
        <scheme val="minor"/>
      </rPr>
      <t>under for the Serial Nos which is mentioned on ADDL INV # seperated by "|"</t>
    </r>
  </si>
  <si>
    <r>
      <t>Month Name with Year(Eg: Jun-2025) for the column</t>
    </r>
    <r>
      <rPr>
        <b/>
        <sz val="11"/>
        <color theme="1"/>
        <rFont val="Aptos Narrow"/>
        <family val="2"/>
        <scheme val="minor"/>
      </rPr>
      <t xml:space="preserve"> Issue Date </t>
    </r>
    <r>
      <rPr>
        <sz val="11"/>
        <color theme="1"/>
        <rFont val="Aptos Narrow"/>
        <family val="2"/>
        <scheme val="minor"/>
      </rPr>
      <t xml:space="preserve"> for the Serial Nos which is mentioned on </t>
    </r>
    <r>
      <rPr>
        <b/>
        <sz val="11"/>
        <color theme="1"/>
        <rFont val="Aptos Narrow"/>
        <family val="2"/>
        <scheme val="minor"/>
      </rPr>
      <t>Invoice #(Row 88)</t>
    </r>
    <r>
      <rPr>
        <sz val="11"/>
        <color theme="1"/>
        <rFont val="Aptos Narrow"/>
        <family val="2"/>
        <scheme val="minor"/>
      </rPr>
      <t xml:space="preserve"> seperated by "|"</t>
    </r>
  </si>
  <si>
    <r>
      <t>Month Name with Year(Eg: Jun-2025) for the column</t>
    </r>
    <r>
      <rPr>
        <b/>
        <sz val="11"/>
        <color theme="1"/>
        <rFont val="Aptos Narrow"/>
        <family val="2"/>
        <scheme val="minor"/>
      </rPr>
      <t xml:space="preserve"> Issue Date </t>
    </r>
    <r>
      <rPr>
        <sz val="11"/>
        <color theme="1"/>
        <rFont val="Aptos Narrow"/>
        <family val="2"/>
        <scheme val="minor"/>
      </rPr>
      <t xml:space="preserve">under for the Serial Nos which is mentioned on </t>
    </r>
    <r>
      <rPr>
        <b/>
        <sz val="11"/>
        <color theme="1"/>
        <rFont val="Aptos Narrow"/>
        <family val="2"/>
        <scheme val="minor"/>
      </rPr>
      <t>ADDL INV #(Row 96)</t>
    </r>
    <r>
      <rPr>
        <sz val="11"/>
        <color theme="1"/>
        <rFont val="Aptos Narrow"/>
        <family val="2"/>
        <scheme val="minor"/>
      </rPr>
      <t xml:space="preserve"> seperated by "|"</t>
    </r>
  </si>
  <si>
    <t>Show same like Carrier value showing in AVS</t>
  </si>
  <si>
    <t>origin_port(Shipment Details API)</t>
  </si>
  <si>
    <r>
      <t xml:space="preserve">Total Count of </t>
    </r>
    <r>
      <rPr>
        <b/>
        <sz val="11"/>
        <color theme="1"/>
        <rFont val="Aptos Narrow"/>
        <family val="2"/>
        <scheme val="minor"/>
      </rPr>
      <t>equipment_details.*.equipment_no</t>
    </r>
    <r>
      <rPr>
        <sz val="11"/>
        <color theme="1"/>
        <rFont val="Aptos Narrow"/>
        <family val="2"/>
        <scheme val="minor"/>
      </rPr>
      <t>(Shipment Details API)</t>
    </r>
  </si>
  <si>
    <t>Total Expected Revenue= focus__costs_revenues_items.Selling Rate* focus__costs_revenues_items.Selling Quantity*  focus__costs_revenues_items.Selling Local Exchange Rate</t>
  </si>
  <si>
    <t>???</t>
  </si>
  <si>
    <t>Calculation</t>
  </si>
  <si>
    <t>to be taken from AVS</t>
  </si>
  <si>
    <t xml:space="preserve">to be taken from AVS </t>
  </si>
  <si>
    <r>
      <t xml:space="preserve">Fetch the </t>
    </r>
    <r>
      <rPr>
        <b/>
        <sz val="11"/>
        <color theme="1"/>
        <rFont val="Aptos Narrow"/>
        <family val="2"/>
        <scheme val="minor"/>
      </rPr>
      <t>Serial No</t>
    </r>
    <r>
      <rPr>
        <sz val="11"/>
        <color theme="1"/>
        <rFont val="Aptos Narrow"/>
        <family val="2"/>
        <scheme val="minor"/>
      </rPr>
      <t xml:space="preserve"> from the</t>
    </r>
    <r>
      <rPr>
        <b/>
        <sz val="11"/>
        <color theme="1"/>
        <rFont val="Aptos Narrow"/>
        <family val="2"/>
        <scheme val="minor"/>
      </rPr>
      <t xml:space="preserve"> focus__issued_invoices</t>
    </r>
    <r>
      <rPr>
        <sz val="11"/>
        <color theme="1"/>
        <rFont val="Aptos Narrow"/>
        <family val="2"/>
        <scheme val="minor"/>
      </rPr>
      <t xml:space="preserve"> table where </t>
    </r>
    <r>
      <rPr>
        <b/>
        <sz val="11"/>
        <color theme="1"/>
        <rFont val="Aptos Narrow"/>
        <family val="2"/>
        <scheme val="minor"/>
      </rPr>
      <t>Voided = False</t>
    </r>
    <r>
      <rPr>
        <sz val="11"/>
        <color theme="1"/>
        <rFont val="Aptos Narrow"/>
        <family val="2"/>
        <scheme val="minor"/>
      </rPr>
      <t xml:space="preserve">, for the charges listed in the </t>
    </r>
    <r>
      <rPr>
        <b/>
        <sz val="11"/>
        <color theme="1"/>
        <rFont val="Aptos Narrow"/>
        <family val="2"/>
        <scheme val="minor"/>
      </rPr>
      <t>focus__costs_revenues_items</t>
    </r>
    <r>
      <rPr>
        <sz val="11"/>
        <color theme="1"/>
        <rFont val="Aptos Narrow"/>
        <family val="2"/>
        <scheme val="minor"/>
      </rPr>
      <t xml:space="preserve"> table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 xml:space="preserve">Charge Service Mapping </t>
    </r>
    <r>
      <rPr>
        <sz val="11"/>
        <color theme="1"/>
        <rFont val="Aptos Narrow"/>
        <family val="2"/>
        <scheme val="minor"/>
      </rPr>
      <t xml:space="preserve">table as category </t>
    </r>
    <r>
      <rPr>
        <b/>
        <sz val="11"/>
        <color rgb="FFFF0000"/>
        <rFont val="Aptos Narrow"/>
        <family val="2"/>
        <scheme val="minor"/>
      </rPr>
      <t xml:space="preserve">not equal to 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Ancillary Charge</t>
    </r>
    <r>
      <rPr>
        <sz val="11"/>
        <color theme="1"/>
        <rFont val="Aptos Narrow"/>
        <family val="2"/>
        <scheme val="minor"/>
      </rPr>
      <t xml:space="preserve">", and the multiple </t>
    </r>
    <r>
      <rPr>
        <b/>
        <sz val="11"/>
        <color theme="1"/>
        <rFont val="Aptos Narrow"/>
        <family val="2"/>
        <scheme val="minor"/>
      </rPr>
      <t xml:space="preserve"> focus__issued_invoices.Serial Number</t>
    </r>
    <r>
      <rPr>
        <sz val="11"/>
        <color theme="1"/>
        <rFont val="Aptos Narrow"/>
        <family val="2"/>
        <scheme val="minor"/>
      </rPr>
      <t xml:space="preserve"> should be returned separated by "|"</t>
    </r>
  </si>
  <si>
    <r>
      <t xml:space="preserve">Fetch the </t>
    </r>
    <r>
      <rPr>
        <b/>
        <sz val="11"/>
        <color theme="1"/>
        <rFont val="Aptos Narrow"/>
        <family val="2"/>
        <scheme val="minor"/>
      </rPr>
      <t>Serial No</t>
    </r>
    <r>
      <rPr>
        <sz val="11"/>
        <color theme="1"/>
        <rFont val="Aptos Narrow"/>
        <family val="2"/>
        <scheme val="minor"/>
      </rPr>
      <t xml:space="preserve"> from the</t>
    </r>
    <r>
      <rPr>
        <b/>
        <sz val="11"/>
        <color theme="1"/>
        <rFont val="Aptos Narrow"/>
        <family val="2"/>
        <scheme val="minor"/>
      </rPr>
      <t xml:space="preserve"> focus__issued_invoices</t>
    </r>
    <r>
      <rPr>
        <sz val="11"/>
        <color theme="1"/>
        <rFont val="Aptos Narrow"/>
        <family val="2"/>
        <scheme val="minor"/>
      </rPr>
      <t xml:space="preserve"> table where </t>
    </r>
    <r>
      <rPr>
        <b/>
        <sz val="11"/>
        <color theme="1"/>
        <rFont val="Aptos Narrow"/>
        <family val="2"/>
        <scheme val="minor"/>
      </rPr>
      <t>Voided = False</t>
    </r>
    <r>
      <rPr>
        <sz val="11"/>
        <color theme="1"/>
        <rFont val="Aptos Narrow"/>
        <family val="2"/>
        <scheme val="minor"/>
      </rPr>
      <t xml:space="preserve">, for the charges listed in the </t>
    </r>
    <r>
      <rPr>
        <b/>
        <sz val="11"/>
        <color theme="1"/>
        <rFont val="Aptos Narrow"/>
        <family val="2"/>
        <scheme val="minor"/>
      </rPr>
      <t>focus__costs_revenues_items</t>
    </r>
    <r>
      <rPr>
        <sz val="11"/>
        <color theme="1"/>
        <rFont val="Aptos Narrow"/>
        <family val="2"/>
        <scheme val="minor"/>
      </rPr>
      <t xml:space="preserve"> table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 xml:space="preserve">Charge Service Mapping </t>
    </r>
    <r>
      <rPr>
        <sz val="11"/>
        <color theme="1"/>
        <rFont val="Aptos Narrow"/>
        <family val="2"/>
        <scheme val="minor"/>
      </rPr>
      <t>table as category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Ancillary Charge</t>
    </r>
    <r>
      <rPr>
        <sz val="11"/>
        <color theme="1"/>
        <rFont val="Aptos Narrow"/>
        <family val="2"/>
        <scheme val="minor"/>
      </rPr>
      <t xml:space="preserve">", and the multiple </t>
    </r>
    <r>
      <rPr>
        <b/>
        <sz val="11"/>
        <color theme="1"/>
        <rFont val="Aptos Narrow"/>
        <family val="2"/>
        <scheme val="minor"/>
      </rPr>
      <t xml:space="preserve"> focus__issued_invoices.Serial Number</t>
    </r>
    <r>
      <rPr>
        <sz val="11"/>
        <color theme="1"/>
        <rFont val="Aptos Narrow"/>
        <family val="2"/>
        <scheme val="minor"/>
      </rPr>
      <t xml:space="preserve"> should be returned separated by "|"</t>
    </r>
  </si>
  <si>
    <t>COMS Tracker to calculate and display the value accordingly</t>
  </si>
  <si>
    <r>
      <t xml:space="preserve">Total Expected Revenue of Charges  from </t>
    </r>
    <r>
      <rPr>
        <b/>
        <sz val="11"/>
        <color theme="1"/>
        <rFont val="Aptos Narrow"/>
        <family val="2"/>
        <scheme val="minor"/>
      </rPr>
      <t>focus__costs_revenues_items table</t>
    </r>
    <r>
      <rPr>
        <sz val="11"/>
        <color theme="1"/>
        <rFont val="Aptos Narrow"/>
        <family val="2"/>
        <scheme val="minor"/>
      </rPr>
      <t xml:space="preserve"> 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>Charge Service Mapping</t>
    </r>
    <r>
      <rPr>
        <sz val="11"/>
        <color theme="1"/>
        <rFont val="Aptos Narrow"/>
        <family val="2"/>
        <scheme val="minor"/>
      </rPr>
      <t xml:space="preserve"> table as category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rgb="FFFF0000"/>
        <rFont val="Aptos Narrow"/>
        <family val="2"/>
        <scheme val="minor"/>
      </rPr>
      <t>Destination Charge</t>
    </r>
    <r>
      <rPr>
        <sz val="11"/>
        <color theme="1"/>
        <rFont val="Aptos Narrow"/>
        <family val="2"/>
        <scheme val="minor"/>
      </rPr>
      <t>"</t>
    </r>
  </si>
  <si>
    <r>
      <t xml:space="preserve">Total Expected Revenue of Charges  from </t>
    </r>
    <r>
      <rPr>
        <b/>
        <sz val="11"/>
        <color theme="1"/>
        <rFont val="Aptos Narrow"/>
        <family val="2"/>
        <scheme val="minor"/>
      </rPr>
      <t>focus__costs_revenues_items table</t>
    </r>
    <r>
      <rPr>
        <sz val="11"/>
        <color theme="1"/>
        <rFont val="Aptos Narrow"/>
        <family val="2"/>
        <scheme val="minor"/>
      </rPr>
      <t xml:space="preserve"> 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>Charge Service Mapping</t>
    </r>
    <r>
      <rPr>
        <sz val="11"/>
        <color theme="1"/>
        <rFont val="Aptos Narrow"/>
        <family val="2"/>
        <scheme val="minor"/>
      </rPr>
      <t xml:space="preserve"> table as category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rgb="FFFF0000"/>
        <rFont val="Aptos Narrow"/>
        <family val="2"/>
        <scheme val="minor"/>
      </rPr>
      <t>Ancillary Charge</t>
    </r>
    <r>
      <rPr>
        <sz val="11"/>
        <color theme="1"/>
        <rFont val="Aptos Narrow"/>
        <family val="2"/>
        <scheme val="minor"/>
      </rPr>
      <t>"</t>
    </r>
  </si>
  <si>
    <r>
      <t xml:space="preserve">Total Expected Revenue of Charges  from </t>
    </r>
    <r>
      <rPr>
        <b/>
        <sz val="11"/>
        <color theme="1"/>
        <rFont val="Aptos Narrow"/>
        <family val="2"/>
        <scheme val="minor"/>
      </rPr>
      <t>focus__costs_revenues_items table</t>
    </r>
    <r>
      <rPr>
        <sz val="11"/>
        <color theme="1"/>
        <rFont val="Aptos Narrow"/>
        <family val="2"/>
        <scheme val="minor"/>
      </rPr>
      <t xml:space="preserve"> 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>Charge Service Mapping</t>
    </r>
    <r>
      <rPr>
        <sz val="11"/>
        <color theme="1"/>
        <rFont val="Aptos Narrow"/>
        <family val="2"/>
        <scheme val="minor"/>
      </rPr>
      <t xml:space="preserve"> table as category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rgb="FFFF0000"/>
        <rFont val="Aptos Narrow"/>
        <family val="2"/>
        <scheme val="minor"/>
      </rPr>
      <t>Freight Charge</t>
    </r>
    <r>
      <rPr>
        <sz val="11"/>
        <color theme="1"/>
        <rFont val="Aptos Narrow"/>
        <family val="2"/>
        <scheme val="minor"/>
      </rPr>
      <t>"</t>
    </r>
  </si>
  <si>
    <r>
      <t xml:space="preserve">Total Expected Revenue of Charges  from </t>
    </r>
    <r>
      <rPr>
        <b/>
        <sz val="11"/>
        <color theme="1"/>
        <rFont val="Aptos Narrow"/>
        <family val="2"/>
        <scheme val="minor"/>
      </rPr>
      <t>focus__costs_revenues_items table</t>
    </r>
    <r>
      <rPr>
        <sz val="11"/>
        <color theme="1"/>
        <rFont val="Aptos Narrow"/>
        <family val="2"/>
        <scheme val="minor"/>
      </rPr>
      <t xml:space="preserve">  corresponding to the shipment’s serial number. These charges should be identified based on the Service (air_inbound, air_outbound, sea_inbound, etc.) as configured in the </t>
    </r>
    <r>
      <rPr>
        <b/>
        <sz val="11"/>
        <color theme="1"/>
        <rFont val="Aptos Narrow"/>
        <family val="2"/>
        <scheme val="minor"/>
      </rPr>
      <t>Charge Service Mapping</t>
    </r>
    <r>
      <rPr>
        <sz val="11"/>
        <color theme="1"/>
        <rFont val="Aptos Narrow"/>
        <family val="2"/>
        <scheme val="minor"/>
      </rPr>
      <t xml:space="preserve"> table as category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rgb="FFFF0000"/>
        <rFont val="Aptos Narrow"/>
        <family val="2"/>
        <scheme val="minor"/>
      </rPr>
      <t>Origin Charge</t>
    </r>
    <r>
      <rPr>
        <sz val="11"/>
        <color theme="1"/>
        <rFont val="Aptos Narrow"/>
        <family val="2"/>
        <scheme val="minor"/>
      </rPr>
      <t>"</t>
    </r>
  </si>
  <si>
    <t>Declaration Value under Customs/3.673</t>
  </si>
  <si>
    <r>
      <rPr>
        <b/>
        <u/>
        <sz val="11"/>
        <color theme="1"/>
        <rFont val="Aptos Narrow"/>
        <family val="2"/>
        <scheme val="minor"/>
      </rPr>
      <t>Case 1</t>
    </r>
    <r>
      <rPr>
        <b/>
        <sz val="11"/>
        <color theme="1"/>
        <rFont val="Aptos Narrow"/>
        <family val="2"/>
        <scheme val="minor"/>
      </rPr>
      <t>( PO# line items with Remaining Quantity&gt;0 )</t>
    </r>
    <r>
      <rPr>
        <b/>
        <u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Show the respective PO# of that Line Item.
</t>
    </r>
    <r>
      <rPr>
        <b/>
        <u/>
        <sz val="11"/>
        <color theme="1"/>
        <rFont val="Aptos Narrow"/>
        <family val="2"/>
        <scheme val="minor"/>
      </rPr>
      <t>Case 2</t>
    </r>
    <r>
      <rPr>
        <b/>
        <sz val="11"/>
        <color theme="1"/>
        <rFont val="Aptos Narrow"/>
        <family val="2"/>
        <scheme val="minor"/>
      </rPr>
      <t xml:space="preserve"> (Frieght Order line with Single PO# exists)</t>
    </r>
    <r>
      <rPr>
        <sz val="11"/>
        <color theme="1"/>
        <rFont val="Aptos Narrow"/>
        <family val="2"/>
        <scheme val="minor"/>
      </rPr>
      <t xml:space="preserve">
Show the respective PO# of that shipment.
</t>
    </r>
    <r>
      <rPr>
        <b/>
        <u/>
        <sz val="11"/>
        <color theme="1"/>
        <rFont val="Aptos Narrow"/>
        <family val="2"/>
        <scheme val="minor"/>
      </rPr>
      <t>Case 3</t>
    </r>
    <r>
      <rPr>
        <b/>
        <sz val="11"/>
        <color theme="1"/>
        <rFont val="Aptos Narrow"/>
        <family val="2"/>
        <scheme val="minor"/>
      </rPr>
      <t xml:space="preserve"> (Freight Order line with multiple PO# exists)</t>
    </r>
    <r>
      <rPr>
        <sz val="11"/>
        <color theme="1"/>
        <rFont val="Aptos Narrow"/>
        <family val="2"/>
        <scheme val="minor"/>
      </rPr>
      <t xml:space="preserve">
Display any one PO# that has the latest </t>
    </r>
    <r>
      <rPr>
        <b/>
        <sz val="11"/>
        <color theme="1"/>
        <rFont val="Aptos Narrow"/>
        <family val="2"/>
        <scheme val="minor"/>
      </rPr>
      <t>CURRENT_PO_PROMISED_DT</t>
    </r>
    <r>
      <rPr>
        <sz val="11"/>
        <color theme="1"/>
        <rFont val="Aptos Narrow"/>
        <family val="2"/>
        <scheme val="minor"/>
      </rPr>
      <t xml:space="preserve"> among all associated PO line items.</t>
    </r>
  </si>
  <si>
    <r>
      <rPr>
        <b/>
        <u/>
        <sz val="11"/>
        <rFont val="Aptos Narrow"/>
        <family val="2"/>
        <scheme val="minor"/>
      </rPr>
      <t>Case 1</t>
    </r>
    <r>
      <rPr>
        <b/>
        <sz val="11"/>
        <rFont val="Aptos Narrow"/>
        <family val="2"/>
        <scheme val="minor"/>
      </rPr>
      <t xml:space="preserve"> ( Freight Order line but shipment not created)</t>
    </r>
    <r>
      <rPr>
        <sz val="11"/>
        <rFont val="Aptos Narrow"/>
        <family val="2"/>
        <scheme val="minor"/>
      </rPr>
      <t xml:space="preserve">
Show the value from Inco Terms form Freight Order enrichment table on COMS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 but Shipment  created)</t>
    </r>
    <r>
      <rPr>
        <sz val="11"/>
        <rFont val="Aptos Narrow"/>
        <family val="2"/>
        <scheme val="minor"/>
      </rPr>
      <t xml:space="preserve">
shipping_terms(Shipment Details API)</t>
    </r>
  </si>
  <si>
    <t>Name to be taken from AVS+"("+destination_port(Shipment Details API)+")"</t>
  </si>
  <si>
    <r>
      <rPr>
        <b/>
        <u/>
        <sz val="11"/>
        <color theme="1"/>
        <rFont val="Aptos Narrow"/>
        <family val="2"/>
        <scheme val="minor"/>
      </rPr>
      <t>Case 1</t>
    </r>
    <r>
      <rPr>
        <sz val="11"/>
        <color theme="1"/>
        <rFont val="Aptos Narrow"/>
        <family val="2"/>
        <scheme val="minor"/>
      </rPr>
      <t xml:space="preserve"> (PO# line items with Remaining Quantity&gt;0 ) 
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= PO is not cancelled and Current Promise Date &lt;= Current Date + 90 Days and Current Promise Date &gt;  Current Date
</t>
    </r>
    <r>
      <rPr>
        <b/>
        <sz val="11"/>
        <color theme="1"/>
        <rFont val="Aptos Narrow"/>
        <family val="2"/>
        <scheme val="minor"/>
      </rPr>
      <t>Not Due</t>
    </r>
    <r>
      <rPr>
        <sz val="11"/>
        <color theme="1"/>
        <rFont val="Aptos Narrow"/>
        <family val="2"/>
        <scheme val="minor"/>
      </rPr>
      <t xml:space="preserve"> = PO is not cancelled and Current Promise Date &gt; Current Date + 90 Days
</t>
    </r>
    <r>
      <rPr>
        <b/>
        <sz val="11"/>
        <color theme="1"/>
        <rFont val="Aptos Narrow"/>
        <family val="2"/>
        <scheme val="minor"/>
      </rPr>
      <t>Due</t>
    </r>
    <r>
      <rPr>
        <sz val="11"/>
        <color theme="1"/>
        <rFont val="Aptos Narrow"/>
        <family val="2"/>
        <scheme val="minor"/>
      </rPr>
      <t xml:space="preserve"> = PO is not cancelled and Current Promise Date &lt;=  Current Date
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 xml:space="preserve"> = if the PO is cancelled in COMS.
</t>
    </r>
    <r>
      <rPr>
        <b/>
        <u/>
        <sz val="11"/>
        <color theme="1"/>
        <rFont val="Aptos Narrow"/>
        <family val="2"/>
        <scheme val="minor"/>
      </rPr>
      <t>Case 2</t>
    </r>
    <r>
      <rPr>
        <sz val="11"/>
        <color theme="1"/>
        <rFont val="Aptos Narrow"/>
        <family val="2"/>
        <scheme val="minor"/>
      </rPr>
      <t xml:space="preserve"> (Freight Order line) 
</t>
    </r>
    <r>
      <rPr>
        <b/>
        <sz val="11"/>
        <color theme="1"/>
        <rFont val="Aptos Narrow"/>
        <family val="2"/>
        <scheme val="minor"/>
      </rPr>
      <t>On Going</t>
    </r>
    <r>
      <rPr>
        <sz val="11"/>
        <color theme="1"/>
        <rFont val="Aptos Narrow"/>
        <family val="2"/>
        <scheme val="minor"/>
      </rPr>
      <t xml:space="preserve"> = (Freight Order Created and Shipment not created) or (Shipment Created and Shipment is not Cancelled in FOCUS and (Actual Time of Departure is in the future OR not yet entered))
</t>
    </r>
    <r>
      <rPr>
        <b/>
        <sz val="11"/>
        <color theme="1"/>
        <rFont val="Aptos Narrow"/>
        <family val="2"/>
        <scheme val="minor"/>
      </rPr>
      <t>In Transit</t>
    </r>
    <r>
      <rPr>
        <sz val="11"/>
        <color theme="1"/>
        <rFont val="Aptos Narrow"/>
        <family val="2"/>
        <scheme val="minor"/>
      </rPr>
      <t xml:space="preserve"> =Shipment is not Cancelled in FOCUS and Actual Time of Departure is recorded AND Actual Time of Departure &lt;= Current Date  AND (Actual Time of Arrival is empty or Actual Time of Arrival&gt;Current Date)
</t>
    </r>
    <r>
      <rPr>
        <b/>
        <sz val="11"/>
        <color theme="1"/>
        <rFont val="Aptos Narrow"/>
        <family val="2"/>
        <scheme val="minor"/>
      </rPr>
      <t>Arrived</t>
    </r>
    <r>
      <rPr>
        <sz val="11"/>
        <color theme="1"/>
        <rFont val="Aptos Narrow"/>
        <family val="2"/>
        <scheme val="minor"/>
      </rPr>
      <t xml:space="preserve"> = Shipment is not Cancelled in FOCUS and Actual Time of Arrival is recorded AND Actual Time of Arrival ≤ Current Date AND (Delivery Date is empty or Delivery Date &gt; Current Date)
</t>
    </r>
    <r>
      <rPr>
        <b/>
        <sz val="11"/>
        <color theme="1"/>
        <rFont val="Aptos Narrow"/>
        <family val="2"/>
        <scheme val="minor"/>
      </rPr>
      <t>Delivered</t>
    </r>
    <r>
      <rPr>
        <sz val="11"/>
        <color theme="1"/>
        <rFont val="Aptos Narrow"/>
        <family val="2"/>
        <scheme val="minor"/>
      </rPr>
      <t xml:space="preserve"> = Shipment is not Cancelled in FOCUS and Delivery Date is recorded AND Delivery Date ≤ Current Date
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 xml:space="preserve"> = Freight Order is marked as cancelled in COMS</t>
    </r>
  </si>
  <si>
    <t>Delivery Location</t>
  </si>
  <si>
    <t>Delivery Location from COMS</t>
  </si>
  <si>
    <r>
      <rPr>
        <b/>
        <u/>
        <sz val="11"/>
        <color theme="1"/>
        <rFont val="Aptos Narrow"/>
        <family val="2"/>
        <scheme val="minor"/>
      </rPr>
      <t>Case 1</t>
    </r>
    <r>
      <rPr>
        <b/>
        <sz val="11"/>
        <color theme="1"/>
        <rFont val="Aptos Narrow"/>
        <family val="2"/>
        <scheme val="minor"/>
      </rPr>
      <t>( PO# line items with Remaining Quantity&gt;0 )</t>
    </r>
    <r>
      <rPr>
        <b/>
        <u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Show the respective  Supplier Name of that Line Item.
</t>
    </r>
    <r>
      <rPr>
        <b/>
        <u/>
        <sz val="11"/>
        <color theme="1"/>
        <rFont val="Aptos Narrow"/>
        <family val="2"/>
        <scheme val="minor"/>
      </rPr>
      <t>Case 2</t>
    </r>
    <r>
      <rPr>
        <b/>
        <sz val="11"/>
        <color theme="1"/>
        <rFont val="Aptos Narrow"/>
        <family val="2"/>
        <scheme val="minor"/>
      </rPr>
      <t xml:space="preserve"> (Frieght Order line with Single PO# exists)</t>
    </r>
    <r>
      <rPr>
        <sz val="11"/>
        <color theme="1"/>
        <rFont val="Aptos Narrow"/>
        <family val="2"/>
        <scheme val="minor"/>
      </rPr>
      <t xml:space="preserve">
Show the respective  Supplier Name of that shipment.
</t>
    </r>
    <r>
      <rPr>
        <b/>
        <u/>
        <sz val="11"/>
        <color theme="1"/>
        <rFont val="Aptos Narrow"/>
        <family val="2"/>
        <scheme val="minor"/>
      </rPr>
      <t>Case 3</t>
    </r>
    <r>
      <rPr>
        <b/>
        <sz val="11"/>
        <color theme="1"/>
        <rFont val="Aptos Narrow"/>
        <family val="2"/>
        <scheme val="minor"/>
      </rPr>
      <t xml:space="preserve"> (Freight Order line with multiple PO# exists)</t>
    </r>
    <r>
      <rPr>
        <sz val="11"/>
        <color theme="1"/>
        <rFont val="Aptos Narrow"/>
        <family val="2"/>
        <scheme val="minor"/>
      </rPr>
      <t xml:space="preserve">
Show Supplier Name of the PO# which is showing on </t>
    </r>
    <r>
      <rPr>
        <b/>
        <sz val="11"/>
        <color theme="1"/>
        <rFont val="Aptos Narrow"/>
        <family val="2"/>
        <scheme val="minor"/>
      </rPr>
      <t>EKPOREF#</t>
    </r>
    <r>
      <rPr>
        <sz val="11"/>
        <color theme="1"/>
        <rFont val="Aptos Narrow"/>
        <family val="2"/>
        <scheme val="minor"/>
      </rPr>
      <t xml:space="preserve"> column.</t>
    </r>
  </si>
  <si>
    <t>CBM  (gross_volume from ship response)</t>
  </si>
  <si>
    <t>+</t>
  </si>
  <si>
    <r>
      <t>We need to add a new Document Label in FOCUS "</t>
    </r>
    <r>
      <rPr>
        <b/>
        <sz val="11"/>
        <rFont val="Aptos Narrow"/>
        <family val="2"/>
        <scheme val="minor"/>
      </rPr>
      <t>AGI</t>
    </r>
    <r>
      <rPr>
        <sz val="11"/>
        <rFont val="Aptos Narrow"/>
        <family val="2"/>
        <scheme val="minor"/>
      </rPr>
      <t>".Need to discuss with Bendetta (get from attachments -&gt; lable= AGI</t>
    </r>
  </si>
  <si>
    <t>focus_customs -&gt; declaration value (column)</t>
  </si>
  <si>
    <t>Financial part</t>
  </si>
  <si>
    <t>if shipment serial is empty -&gt; fin values are NULL</t>
  </si>
  <si>
    <t>Value from column B "ORG CHGS (AED)"/3.673</t>
  </si>
  <si>
    <t>Value from column B "FRT CHGS (AED)"/3.673</t>
  </si>
  <si>
    <t>Value from column B "DEST CHGS (AED)"/3.673</t>
  </si>
  <si>
    <t>Value from column "ORG CHGS (AED)"/ use focus__exchange_rates for convertion</t>
  </si>
  <si>
    <t>Value from column "FRT CHGS (AED)"/  use focus__exchange_rates for convertion</t>
  </si>
  <si>
    <t>Value from column "DEST CHGS (AED)"/  use focus__exchange_rates for convertion</t>
  </si>
  <si>
    <t>take charge type from Charge service mapping file -&gt; use ship serial and service type to get the charge type and then sum up from the table using formula</t>
  </si>
  <si>
    <t>mappings (from three files) are for EMIRATES AIRLINE</t>
  </si>
  <si>
    <t>create tables with mappings in DB + add client ID = 4 (EMIRATES AIRLINE)</t>
  </si>
  <si>
    <t>Total Expected Revenue = focus__costs_revenues_items.Selling Rate * focus__costs_revenues_items.Selling Quantity * focus__costs_revenues_items.Selling Local Exchange Rate</t>
  </si>
  <si>
    <r>
      <t xml:space="preserve">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•  </t>
    </r>
    <r>
      <rPr>
        <b/>
        <sz val="11"/>
        <color theme="1"/>
        <rFont val="Aptos Narrow"/>
        <family val="2"/>
      </rPr>
      <t>Cargo Ready Date Actual</t>
    </r>
    <r>
      <rPr>
        <sz val="11"/>
        <color theme="1"/>
        <rFont val="Aptos Narrow"/>
        <family val="2"/>
      </rPr>
      <t xml:space="preserve"> = CRD
ETA Wakeo -&gt; ETA
same for ETD</t>
    </r>
  </si>
  <si>
    <t>for shipment line only</t>
  </si>
  <si>
    <r>
      <t>for shipment line only
If(PR #="")
{</t>
    </r>
    <r>
      <rPr>
        <b/>
        <sz val="11"/>
        <rFont val="Aptos Narrow"/>
        <family val="2"/>
        <scheme val="minor"/>
      </rPr>
      <t>Value</t>
    </r>
    <r>
      <rPr>
        <sz val="11"/>
        <rFont val="Aptos Narrow"/>
        <family val="2"/>
        <scheme val="minor"/>
      </rPr>
      <t>="Pending"}
else
{</t>
    </r>
    <r>
      <rPr>
        <b/>
        <sz val="11"/>
        <rFont val="Aptos Narrow"/>
        <family val="2"/>
        <scheme val="minor"/>
      </rPr>
      <t>Value</t>
    </r>
    <r>
      <rPr>
        <sz val="11"/>
        <rFont val="Aptos Narrow"/>
        <family val="2"/>
        <scheme val="minor"/>
      </rPr>
      <t>="Logged"}</t>
    </r>
  </si>
  <si>
    <r>
      <t>for shipment line only
If (SPO # ="")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="Pending"}
else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="Received"}</t>
    </r>
  </si>
  <si>
    <r>
      <rPr>
        <b/>
        <sz val="11"/>
        <color theme="1"/>
        <rFont val="Aptos Narrow"/>
        <family val="2"/>
        <scheme val="minor"/>
      </rPr>
      <t>ORG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FRT CHGS (AED)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DEST CHGS (AED)</t>
    </r>
    <r>
      <rPr>
        <sz val="11"/>
        <color theme="1"/>
        <rFont val="Aptos Narrow"/>
        <family val="2"/>
        <scheme val="minor"/>
      </rPr>
      <t xml:space="preserve">
copy from p2p VALUIE</t>
    </r>
  </si>
  <si>
    <t>If (Invoice # !="")
{Value="Billed"}
else 
{Value="Pending"}</t>
  </si>
  <si>
    <t>reverse of the Invoice # row</t>
  </si>
  <si>
    <t>for all lines (PO &amp; shipment)</t>
  </si>
  <si>
    <t>how to split/add conditions for PO lines and Freight order lines</t>
  </si>
  <si>
    <t>show only for _po_no_ekporef (where one doc is sitting)</t>
  </si>
  <si>
    <t>show only for _po_no_ekporef (where one doc is sitting)
only for FO lines</t>
  </si>
  <si>
    <r>
      <rPr>
        <b/>
        <sz val="11"/>
        <color theme="1"/>
        <rFont val="Aptos Narrow"/>
        <family val="2"/>
      </rPr>
      <t xml:space="preserve">Amended: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•  PO_APP_DT</t>
    </r>
    <r>
      <rPr>
        <sz val="11"/>
        <color theme="1"/>
        <rFont val="Aptos Narrow"/>
        <family val="2"/>
      </rPr>
      <t xml:space="preserve">= PO_APP_DT of the PO number referenced in the EKPOREF# column
</t>
    </r>
    <r>
      <rPr>
        <sz val="11"/>
        <color rgb="FFFF0000"/>
        <rFont val="Aptos Narrow"/>
        <family val="2"/>
      </rPr>
      <t>• Show the Value sufffixed with symbol " %"</t>
    </r>
  </si>
  <si>
    <r>
      <rPr>
        <b/>
        <u/>
        <sz val="11"/>
        <color theme="1"/>
        <rFont val="Aptos Narrow"/>
        <family val="2"/>
      </rPr>
      <t>Amended: only for FO lines
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 = REQ_APP_DT of the PO number shown in the EKPOREF# column.
</t>
    </r>
  </si>
  <si>
    <r>
      <rPr>
        <b/>
        <sz val="11"/>
        <rFont val="Aptos Narrow"/>
        <family val="2"/>
        <scheme val="minor"/>
      </rPr>
      <t>Amended: only</t>
    </r>
    <r>
      <rPr>
        <sz val="11"/>
        <rFont val="Aptos Narrow"/>
        <family val="2"/>
        <scheme val="minor"/>
      </rPr>
      <t xml:space="preserve">
</t>
    </r>
    <r>
      <rPr>
        <b/>
        <u/>
        <sz val="11"/>
        <rFont val="Aptos Narrow"/>
        <family val="2"/>
        <scheme val="minor"/>
      </rPr>
      <t>Case 2</t>
    </r>
    <r>
      <rPr>
        <b/>
        <sz val="11"/>
        <rFont val="Aptos Narrow"/>
        <family val="2"/>
        <scheme val="minor"/>
      </rPr>
      <t xml:space="preserve"> (Freight Order line)</t>
    </r>
    <r>
      <rPr>
        <sz val="1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PO_DATE</t>
    </r>
    <r>
      <rPr>
        <sz val="11"/>
        <rFont val="Aptos Narrow"/>
        <family val="2"/>
        <scheme val="minor"/>
      </rPr>
      <t>=  PO_DATE of the PO# shown in the EKPOREF# column</t>
    </r>
  </si>
  <si>
    <r>
      <rPr>
        <b/>
        <sz val="11"/>
        <color theme="1"/>
        <rFont val="Aptos Narrow"/>
        <family val="2"/>
      </rPr>
      <t>Amended: only</t>
    </r>
    <r>
      <rPr>
        <sz val="11"/>
        <color theme="1"/>
        <rFont val="Aptos Narrow"/>
        <family val="2"/>
      </rPr>
      <t xml:space="preserve">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CURRENT_PO_PROMISED_DT</t>
    </r>
    <r>
      <rPr>
        <sz val="11"/>
        <color theme="1"/>
        <rFont val="Aptos Narrow"/>
        <family val="2"/>
      </rPr>
      <t xml:space="preserve">= latest CURRENT_PO_PROMISED_DT from the PO Line Items associated with the PO# shown in the EKPOREF# column.
</t>
    </r>
  </si>
  <si>
    <r>
      <t xml:space="preserve">•  </t>
    </r>
    <r>
      <rPr>
        <b/>
        <sz val="11"/>
        <color theme="1"/>
        <rFont val="Aptos Narrow"/>
        <family val="2"/>
      </rPr>
      <t>ETA</t>
    </r>
    <r>
      <rPr>
        <sz val="11"/>
        <color theme="1"/>
        <rFont val="Aptos Narrow"/>
        <family val="2"/>
      </rPr>
      <t xml:space="preserve"> = PTA(Wakeo)
•  </t>
    </r>
    <r>
      <rPr>
        <b/>
        <sz val="11"/>
        <color theme="1"/>
        <rFont val="Aptos Narrow"/>
        <family val="2"/>
      </rPr>
      <t>ETD</t>
    </r>
    <r>
      <rPr>
        <sz val="11"/>
        <color theme="1"/>
        <rFont val="Aptos Narrow"/>
        <family val="2"/>
      </rPr>
      <t xml:space="preserve"> = PTD(Wakeo)
</t>
    </r>
    <r>
      <rPr>
        <b/>
        <u/>
        <sz val="11"/>
        <color theme="1"/>
        <rFont val="Aptos Narrow"/>
        <family val="2"/>
      </rPr>
      <t>Amedned: only</t>
    </r>
    <r>
      <rPr>
        <sz val="11"/>
        <color theme="1"/>
        <rFont val="Aptos Narrow"/>
        <family val="2"/>
      </rPr>
      <t xml:space="preserve">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CURRENT_PO_PROMISED_DT</t>
    </r>
    <r>
      <rPr>
        <sz val="11"/>
        <color theme="1"/>
        <rFont val="Aptos Narrow"/>
        <family val="2"/>
      </rPr>
      <t>= latest CURRENT_PO_PROMISED_DT from the PO Line Items associated with the PO# shown in the EKPOREF# column.</t>
    </r>
  </si>
  <si>
    <r>
      <rPr>
        <b/>
        <u/>
        <sz val="11"/>
        <color theme="1"/>
        <rFont val="Aptos Narrow"/>
        <family val="2"/>
      </rPr>
      <t>Amended: only</t>
    </r>
    <r>
      <rPr>
        <sz val="11"/>
        <color theme="1"/>
        <rFont val="Aptos Narrow"/>
        <family val="2"/>
      </rPr>
      <t xml:space="preserve">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CURRENT_PO_PROMISED_DT</t>
    </r>
    <r>
      <rPr>
        <sz val="11"/>
        <color theme="1"/>
        <rFont val="Aptos Narrow"/>
        <family val="2"/>
      </rPr>
      <t xml:space="preserve">= latest CURRENT_PO_PROMISED_DT from the PO Line Items associated with the PO# shown in the EKPOREF# column.
</t>
    </r>
  </si>
  <si>
    <r>
      <rPr>
        <b/>
        <u/>
        <sz val="11"/>
        <color theme="1"/>
        <rFont val="Aptos Narrow"/>
        <family val="2"/>
      </rPr>
      <t>Amended:</t>
    </r>
    <r>
      <rPr>
        <sz val="11"/>
        <color theme="1"/>
        <rFont val="Aptos Narrow"/>
        <family val="2"/>
      </rPr>
      <t xml:space="preserve">
</t>
    </r>
    <r>
      <rPr>
        <b/>
        <u/>
        <sz val="11"/>
        <color theme="1"/>
        <rFont val="Aptos Narrow"/>
        <family val="2"/>
      </rPr>
      <t>Case 2</t>
    </r>
    <r>
      <rPr>
        <sz val="11"/>
        <color theme="1"/>
        <rFont val="Aptos Narrow"/>
        <family val="2"/>
      </rPr>
      <t xml:space="preserve"> (Freight Order line)
</t>
    </r>
    <r>
      <rPr>
        <b/>
        <sz val="11"/>
        <color theme="1"/>
        <rFont val="Aptos Narrow"/>
        <family val="2"/>
      </rPr>
      <t>REQ_APP_DT</t>
    </r>
    <r>
      <rPr>
        <sz val="11"/>
        <color theme="1"/>
        <rFont val="Aptos Narrow"/>
        <family val="2"/>
      </rPr>
      <t xml:space="preserve"> = REQ_APP_DT of the PO number shown in the EKPOREF# column.
</t>
    </r>
    <r>
      <rPr>
        <b/>
        <sz val="11"/>
        <color theme="1"/>
        <rFont val="Aptos Narrow"/>
        <family val="2"/>
      </rPr>
      <t>PO_APP_DT</t>
    </r>
    <r>
      <rPr>
        <sz val="11"/>
        <color theme="1"/>
        <rFont val="Aptos Narrow"/>
        <family val="2"/>
      </rPr>
      <t xml:space="preserve">= PO_APP_DT of the PO number referenced in the EKPOREF# column
</t>
    </r>
    <r>
      <rPr>
        <sz val="11"/>
        <color rgb="FFFF0000"/>
        <rFont val="Aptos Narrow"/>
        <family val="2"/>
      </rPr>
      <t>• Show the Value sufffixed with symbol " %"</t>
    </r>
  </si>
  <si>
    <t>Only for  FO line now !!!</t>
  </si>
  <si>
    <r>
      <rPr>
        <b/>
        <sz val="11"/>
        <color theme="1"/>
        <rFont val="Aptos Narrow"/>
        <family val="2"/>
        <scheme val="minor"/>
      </rPr>
      <t xml:space="preserve">CRD TO ETD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ETD TO ETA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ETA TO DEL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NBD TO ETA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NBD TO DEL</t>
    </r>
  </si>
  <si>
    <t>column_name</t>
  </si>
  <si>
    <t>_20_ft</t>
  </si>
  <si>
    <t>_40_ft</t>
  </si>
  <si>
    <t>_aux_chrg_aed</t>
  </si>
  <si>
    <t>_aux_chrg_usd</t>
  </si>
  <si>
    <t>_arrival_date</t>
  </si>
  <si>
    <t>_cargo_ho</t>
  </si>
  <si>
    <t>_crd</t>
  </si>
  <si>
    <t>_est_cargo_ready_date</t>
  </si>
  <si>
    <t>_carrier</t>
  </si>
  <si>
    <t>_cbm</t>
  </si>
  <si>
    <t>_chargeable_weight</t>
  </si>
  <si>
    <t>_client</t>
  </si>
  <si>
    <t>_client_id</t>
  </si>
  <si>
    <t>_commodity</t>
  </si>
  <si>
    <t>_container_no</t>
  </si>
  <si>
    <t>_days_order_placement_lt</t>
  </si>
  <si>
    <t>_days_supplier_production_lead_time</t>
  </si>
  <si>
    <t>_days_custom_clearance_lt</t>
  </si>
  <si>
    <t>_days_iss_cont_booking_lt</t>
  </si>
  <si>
    <t>_days_transit_lt</t>
  </si>
  <si>
    <t>_e2e_total_lt</t>
  </si>
  <si>
    <t>_del</t>
  </si>
  <si>
    <t>_delivery_location</t>
  </si>
  <si>
    <t>_departure_date</t>
  </si>
  <si>
    <t>_destination_country_dest</t>
  </si>
  <si>
    <t>_destination_port_code_dest</t>
  </si>
  <si>
    <t>_destination_port_name_dest</t>
  </si>
  <si>
    <t>_destination_region_org_reg</t>
  </si>
  <si>
    <t>_dest_chrg_aed</t>
  </si>
  <si>
    <t>_dest_chrg_usd</t>
  </si>
  <si>
    <t>_do_date</t>
  </si>
  <si>
    <t>_do_exp</t>
  </si>
  <si>
    <t>_eqpt_type</t>
  </si>
  <si>
    <t>_eta</t>
  </si>
  <si>
    <t>_etd</t>
  </si>
  <si>
    <t>_iss_ref</t>
  </si>
  <si>
    <t>_frt_chrg_aed</t>
  </si>
  <si>
    <t>_frt_chrg_usd</t>
  </si>
  <si>
    <t>_goods_cleared_origin</t>
  </si>
  <si>
    <t>_goods_cleared_destination</t>
  </si>
  <si>
    <t>_gross_weight</t>
  </si>
  <si>
    <t>_hbl_hawb</t>
  </si>
  <si>
    <t>_incoterms</t>
  </si>
  <si>
    <t>_incoterms_fo</t>
  </si>
  <si>
    <t>_inner_qty</t>
  </si>
  <si>
    <t>_mbl_mawb</t>
  </si>
  <si>
    <t>_origin_country</t>
  </si>
  <si>
    <t>_origin_port_name</t>
  </si>
  <si>
    <t>_origin_port_pol</t>
  </si>
  <si>
    <t>_origin_region_org_reg</t>
  </si>
  <si>
    <t>_org_chgs_aed</t>
  </si>
  <si>
    <t>_org_chgs_usd</t>
  </si>
  <si>
    <t>_p2p_value_aed</t>
  </si>
  <si>
    <t>_p2p_value_usd</t>
  </si>
  <si>
    <t>_pack_type</t>
  </si>
  <si>
    <t>_pickup_date</t>
  </si>
  <si>
    <t>_pid</t>
  </si>
  <si>
    <t>_po_appr_date</t>
  </si>
  <si>
    <t>_po_creation_date</t>
  </si>
  <si>
    <t>_po_need_by_date</t>
  </si>
  <si>
    <t>_po_no_ekporef</t>
  </si>
  <si>
    <t>_po_recd_date</t>
  </si>
  <si>
    <t>_po_remarks</t>
  </si>
  <si>
    <t>_pod_date</t>
  </si>
  <si>
    <t>_pr_appr_date</t>
  </si>
  <si>
    <t>_pre_alert</t>
  </si>
  <si>
    <t>_revised_eta</t>
  </si>
  <si>
    <t>_revised_etd</t>
  </si>
  <si>
    <t>_routed_by</t>
  </si>
  <si>
    <t>_row_type</t>
  </si>
  <si>
    <t>_secondary_po</t>
  </si>
  <si>
    <t>_mode</t>
  </si>
  <si>
    <t>_ship_billing_remarks</t>
  </si>
  <si>
    <t>_ship_remarks_updates</t>
  </si>
  <si>
    <t>_shipment_serial_iss_job</t>
  </si>
  <si>
    <t>_status</t>
  </si>
  <si>
    <t>_supplier_code</t>
  </si>
  <si>
    <t>_supplier_name</t>
  </si>
  <si>
    <t>_total_charges_aed</t>
  </si>
  <si>
    <t>_total_charges_usd</t>
  </si>
  <si>
    <t>_count_of_cont</t>
  </si>
  <si>
    <t>_quantity</t>
  </si>
  <si>
    <t>_teus</t>
  </si>
  <si>
    <t>_fo_id</t>
  </si>
  <si>
    <t>_branch_bu</t>
  </si>
  <si>
    <t>_fe_id</t>
  </si>
  <si>
    <t>_destination_country_code_dest</t>
  </si>
  <si>
    <t>_pr_number</t>
  </si>
  <si>
    <t>_pr_date</t>
  </si>
  <si>
    <t>_req_status</t>
  </si>
  <si>
    <t>_spo_number</t>
  </si>
  <si>
    <t>_po_status</t>
  </si>
  <si>
    <t>_spo_invoice_val_aed</t>
  </si>
  <si>
    <t>_invoice_no</t>
  </si>
  <si>
    <t>_invoice_issue_date</t>
  </si>
  <si>
    <t>_billing_status</t>
  </si>
  <si>
    <t>_grn_no</t>
  </si>
  <si>
    <t>_grn_status</t>
  </si>
  <si>
    <t>_addl_po</t>
  </si>
  <si>
    <t>_addl_issued_invoices</t>
  </si>
  <si>
    <t>_addl_invoice_issue_date</t>
  </si>
  <si>
    <t>_addl_po_grn</t>
  </si>
  <si>
    <t>_days_delayed_eta</t>
  </si>
  <si>
    <t>_days_delayed_etd</t>
  </si>
  <si>
    <t>_rdd_eta</t>
  </si>
  <si>
    <t>_nbd_2_crd</t>
  </si>
  <si>
    <t>_po_2_crd</t>
  </si>
  <si>
    <t>_crd_2_etd</t>
  </si>
  <si>
    <t>_etd_2_eta</t>
  </si>
  <si>
    <t>_eta_2_del</t>
  </si>
  <si>
    <t>_nbd_2_eta</t>
  </si>
  <si>
    <t>_nbd_2_del</t>
  </si>
  <si>
    <t>_avg_lt</t>
  </si>
  <si>
    <t>_customs_invoice_aed</t>
  </si>
  <si>
    <t>_customs_invoice_usd</t>
  </si>
  <si>
    <t>_dn</t>
  </si>
  <si>
    <t>_ontime_order_placement_perf</t>
  </si>
  <si>
    <t>_iss_cont_booking_perf</t>
  </si>
  <si>
    <t>_aux_charge_type</t>
  </si>
  <si>
    <t>_aux_charge_form_no</t>
  </si>
  <si>
    <t>SQL cols</t>
  </si>
  <si>
    <t>Needed?</t>
  </si>
  <si>
    <t>Exists?</t>
  </si>
  <si>
    <t>no</t>
  </si>
  <si>
    <t>yes</t>
  </si>
  <si>
    <r>
      <t>if(</t>
    </r>
    <r>
      <rPr>
        <b/>
        <sz val="11"/>
        <color theme="1"/>
        <rFont val="Aptos Narrow"/>
        <family val="2"/>
        <scheme val="minor"/>
      </rPr>
      <t xml:space="preserve">No of Days Order Placement LT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No. of Days Supplier Production Lead Time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No. of Days Custom Clearance LT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No. of Days ISS Cont. Booking LT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No. of Days Transit LT</t>
    </r>
    <r>
      <rPr>
        <sz val="11"/>
        <color theme="1"/>
        <rFont val="Aptos Narrow"/>
        <family val="2"/>
        <scheme val="minor"/>
      </rPr>
      <t>)&gt;500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=0}
else 
{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>=</t>
    </r>
    <r>
      <rPr>
        <b/>
        <sz val="11"/>
        <color theme="1"/>
        <rFont val="Aptos Narrow"/>
        <family val="2"/>
        <scheme val="minor"/>
      </rPr>
      <t xml:space="preserve">No of Days Order Placement LT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No. of Days Supplier Production Lead Time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No. of Days Custom Clearance LT
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No. of Days ISS Cont. Booking LT</t>
    </r>
    <r>
      <rPr>
        <sz val="11"/>
        <color theme="1"/>
        <rFont val="Aptos Narrow"/>
        <family val="2"/>
        <scheme val="minor"/>
      </rPr>
      <t>}</t>
    </r>
  </si>
  <si>
    <t>_supplier_name
_supplier_code</t>
  </si>
  <si>
    <t>_po_no_EKPOREF</t>
  </si>
  <si>
    <t>_incoterms
_incoterms_fo</t>
  </si>
  <si>
    <t>_destination_port_code_dest
_destination_port_name_dest
_destination_country_code_dest
_destination_country_dest
_destination_region_reg</t>
  </si>
  <si>
    <t>_do_exp
_do_date</t>
  </si>
  <si>
    <t>perf</t>
  </si>
  <si>
    <t>main</t>
  </si>
  <si>
    <t>pre_calc</t>
  </si>
  <si>
    <t>CTE</t>
  </si>
  <si>
    <t>SQL MAPPING</t>
  </si>
  <si>
    <t>Added</t>
  </si>
  <si>
    <t>calc</t>
  </si>
  <si>
    <t>_days_total_comm_perf</t>
  </si>
  <si>
    <t>_days_supplier_production_lt</t>
  </si>
  <si>
    <t>_actual_lead</t>
  </si>
  <si>
    <t>_health_check</t>
  </si>
  <si>
    <t>_reason_code</t>
  </si>
  <si>
    <t>lead time (LT)</t>
  </si>
  <si>
    <t>charges</t>
  </si>
  <si>
    <t>_supplier_committed_prod_rdy_perf</t>
  </si>
  <si>
    <t>_iss_transit_lead_time_perf</t>
  </si>
  <si>
    <t>_iss_custom_clear_perf</t>
  </si>
  <si>
    <t>_e2e_total_lead_time_perf</t>
  </si>
  <si>
    <t>_org_chrg_aed</t>
  </si>
  <si>
    <t>pr-req-spo</t>
  </si>
  <si>
    <t>invoice</t>
  </si>
  <si>
    <t>addl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</si>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</sst>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409]d\-mmm\-yyyy;@"/>
    <numFmt numFmtId="166" formatCode="[$-409]dd\-mmm\-yy;@"/>
    <numFmt numFmtId="167" formatCode="0;[Red]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b/>
      <u/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4" fillId="3" borderId="1" xfId="0" applyFont="1" applyFill="1" applyBorder="1"/>
    <xf numFmtId="164" fontId="5" fillId="0" borderId="1" xfId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8" fillId="0" borderId="0" xfId="0" applyFont="1"/>
    <xf numFmtId="0" fontId="8" fillId="4" borderId="1" xfId="0" applyFont="1" applyFill="1" applyBorder="1"/>
    <xf numFmtId="0" fontId="8" fillId="4" borderId="0" xfId="0" applyFont="1" applyFill="1"/>
    <xf numFmtId="0" fontId="8" fillId="4" borderId="1" xfId="0" applyFont="1" applyFill="1" applyBorder="1" applyAlignment="1">
      <alignment wrapText="1"/>
    </xf>
    <xf numFmtId="0" fontId="12" fillId="2" borderId="1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164" fontId="6" fillId="0" borderId="1" xfId="1" applyFont="1" applyBorder="1" applyAlignment="1">
      <alignment horizontal="left" vertical="top" wrapText="1"/>
    </xf>
    <xf numFmtId="166" fontId="5" fillId="4" borderId="1" xfId="1" applyNumberFormat="1" applyFont="1" applyFill="1" applyBorder="1" applyAlignment="1">
      <alignment horizontal="left" vertical="top" wrapText="1"/>
    </xf>
    <xf numFmtId="0" fontId="1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15" fillId="4" borderId="1" xfId="0" applyFont="1" applyFill="1" applyBorder="1"/>
    <xf numFmtId="0" fontId="15" fillId="0" borderId="1" xfId="0" applyFont="1" applyBorder="1"/>
    <xf numFmtId="0" fontId="4" fillId="0" borderId="0" xfId="0" applyFont="1"/>
    <xf numFmtId="0" fontId="4" fillId="4" borderId="0" xfId="0" applyFont="1" applyFill="1"/>
    <xf numFmtId="0" fontId="0" fillId="4" borderId="1" xfId="0" applyFill="1" applyBorder="1"/>
    <xf numFmtId="164" fontId="5" fillId="4" borderId="1" xfId="1" applyFont="1" applyFill="1" applyBorder="1" applyAlignment="1">
      <alignment horizontal="left" vertical="top" wrapText="1"/>
    </xf>
    <xf numFmtId="164" fontId="6" fillId="4" borderId="1" xfId="1" applyFont="1" applyFill="1" applyBorder="1" applyAlignment="1">
      <alignment horizontal="left" vertical="top" wrapText="1"/>
    </xf>
    <xf numFmtId="0" fontId="13" fillId="4" borderId="1" xfId="0" applyFont="1" applyFill="1" applyBorder="1"/>
    <xf numFmtId="0" fontId="0" fillId="4" borderId="0" xfId="0" applyFill="1"/>
    <xf numFmtId="0" fontId="0" fillId="5" borderId="1" xfId="0" applyFill="1" applyBorder="1"/>
    <xf numFmtId="164" fontId="5" fillId="5" borderId="1" xfId="1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0" fillId="5" borderId="0" xfId="0" applyFill="1"/>
    <xf numFmtId="0" fontId="8" fillId="5" borderId="1" xfId="0" applyFont="1" applyFill="1" applyBorder="1"/>
    <xf numFmtId="0" fontId="14" fillId="5" borderId="1" xfId="0" applyFont="1" applyFill="1" applyBorder="1"/>
    <xf numFmtId="0" fontId="8" fillId="5" borderId="0" xfId="0" applyFont="1" applyFill="1"/>
    <xf numFmtId="0" fontId="4" fillId="6" borderId="1" xfId="0" applyFont="1" applyFill="1" applyBorder="1"/>
    <xf numFmtId="164" fontId="11" fillId="6" borderId="1" xfId="1" applyFont="1" applyFill="1" applyBorder="1" applyAlignment="1">
      <alignment horizontal="left" vertical="top" wrapText="1"/>
    </xf>
    <xf numFmtId="0" fontId="15" fillId="6" borderId="1" xfId="0" applyFont="1" applyFill="1" applyBorder="1"/>
    <xf numFmtId="0" fontId="4" fillId="6" borderId="0" xfId="0" applyFont="1" applyFill="1"/>
    <xf numFmtId="166" fontId="5" fillId="7" borderId="1" xfId="1" applyNumberFormat="1" applyFont="1" applyFill="1" applyBorder="1" applyAlignment="1">
      <alignment horizontal="left" wrapText="1"/>
    </xf>
    <xf numFmtId="166" fontId="5" fillId="7" borderId="1" xfId="1" applyNumberFormat="1" applyFont="1" applyFill="1" applyBorder="1" applyAlignment="1">
      <alignment horizontal="left" vertical="top" wrapText="1"/>
    </xf>
    <xf numFmtId="0" fontId="8" fillId="7" borderId="1" xfId="0" applyFont="1" applyFill="1" applyBorder="1"/>
    <xf numFmtId="0" fontId="0" fillId="7" borderId="1" xfId="0" applyFill="1" applyBorder="1"/>
    <xf numFmtId="164" fontId="5" fillId="7" borderId="1" xfId="1" applyFont="1" applyFill="1" applyBorder="1" applyAlignment="1">
      <alignment horizontal="left" wrapText="1"/>
    </xf>
    <xf numFmtId="164" fontId="5" fillId="7" borderId="1" xfId="1" applyFont="1" applyFill="1" applyBorder="1" applyAlignment="1">
      <alignment horizontal="left"/>
    </xf>
    <xf numFmtId="164" fontId="6" fillId="7" borderId="1" xfId="1" applyFont="1" applyFill="1" applyBorder="1" applyAlignment="1">
      <alignment horizontal="left"/>
    </xf>
    <xf numFmtId="164" fontId="5" fillId="7" borderId="1" xfId="1" applyFont="1" applyFill="1" applyBorder="1" applyAlignment="1">
      <alignment horizontal="left" vertical="top" wrapText="1"/>
    </xf>
    <xf numFmtId="164" fontId="5" fillId="7" borderId="1" xfId="1" applyFont="1" applyFill="1" applyBorder="1" applyAlignment="1">
      <alignment horizontal="left" vertical="top"/>
    </xf>
    <xf numFmtId="165" fontId="5" fillId="7" borderId="1" xfId="1" applyNumberFormat="1" applyFont="1" applyFill="1" applyBorder="1" applyAlignment="1">
      <alignment horizontal="left" vertical="top"/>
    </xf>
    <xf numFmtId="0" fontId="8" fillId="8" borderId="1" xfId="0" applyFont="1" applyFill="1" applyBorder="1"/>
    <xf numFmtId="164" fontId="5" fillId="8" borderId="1" xfId="1" applyFont="1" applyFill="1" applyBorder="1" applyAlignment="1">
      <alignment horizontal="left" vertical="top" wrapText="1"/>
    </xf>
    <xf numFmtId="4" fontId="5" fillId="8" borderId="1" xfId="1" applyNumberFormat="1" applyFont="1" applyFill="1" applyBorder="1" applyAlignment="1">
      <alignment horizontal="left" wrapText="1"/>
    </xf>
    <xf numFmtId="43" fontId="5" fillId="8" borderId="1" xfId="2" applyFont="1" applyFill="1" applyBorder="1" applyAlignment="1">
      <alignment horizontal="left" vertical="top" wrapText="1"/>
    </xf>
    <xf numFmtId="164" fontId="5" fillId="8" borderId="1" xfId="1" applyFont="1" applyFill="1" applyBorder="1" applyAlignment="1">
      <alignment horizontal="left" wrapText="1"/>
    </xf>
    <xf numFmtId="164" fontId="5" fillId="9" borderId="1" xfId="1" applyFont="1" applyFill="1" applyBorder="1" applyAlignment="1">
      <alignment horizontal="left" wrapText="1"/>
    </xf>
    <xf numFmtId="0" fontId="1" fillId="0" borderId="1" xfId="0" applyFont="1" applyBorder="1"/>
    <xf numFmtId="0" fontId="0" fillId="0" borderId="0" xfId="0" applyAlignment="1">
      <alignment wrapText="1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164" fontId="18" fillId="10" borderId="1" xfId="1" applyFont="1" applyFill="1" applyBorder="1" applyAlignment="1">
      <alignment horizontal="left" vertical="top" wrapText="1"/>
    </xf>
    <xf numFmtId="164" fontId="6" fillId="7" borderId="1" xfId="1" applyFont="1" applyFill="1" applyBorder="1" applyAlignment="1">
      <alignment horizontal="left" vertical="top" wrapText="1"/>
    </xf>
    <xf numFmtId="167" fontId="5" fillId="7" borderId="1" xfId="1" applyNumberFormat="1" applyFont="1" applyFill="1" applyBorder="1" applyAlignment="1">
      <alignment horizontal="left" wrapText="1"/>
    </xf>
    <xf numFmtId="0" fontId="0" fillId="8" borderId="0" xfId="0" applyFill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164" fontId="19" fillId="0" borderId="1" xfId="1" applyFont="1" applyBorder="1" applyAlignment="1">
      <alignment horizontal="left" vertical="top" wrapText="1"/>
    </xf>
    <xf numFmtId="0" fontId="2" fillId="7" borderId="1" xfId="0" applyFont="1" applyFill="1" applyBorder="1" applyAlignment="1">
      <alignment wrapText="1"/>
    </xf>
    <xf numFmtId="0" fontId="12" fillId="7" borderId="2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11" borderId="0" xfId="0" applyFont="1" applyFill="1"/>
    <xf numFmtId="0" fontId="2" fillId="2" borderId="3" xfId="0" applyFont="1" applyFill="1" applyBorder="1"/>
    <xf numFmtId="0" fontId="0" fillId="0" borderId="3" xfId="0" applyBorder="1"/>
    <xf numFmtId="0" fontId="8" fillId="0" borderId="3" xfId="0" applyFont="1" applyBorder="1"/>
    <xf numFmtId="0" fontId="8" fillId="4" borderId="3" xfId="0" applyFont="1" applyFill="1" applyBorder="1"/>
    <xf numFmtId="0" fontId="4" fillId="4" borderId="3" xfId="0" applyFont="1" applyFill="1" applyBorder="1"/>
    <xf numFmtId="0" fontId="4" fillId="0" borderId="3" xfId="0" applyFont="1" applyBorder="1"/>
    <xf numFmtId="0" fontId="0" fillId="10" borderId="3" xfId="0" applyFill="1" applyBorder="1"/>
    <xf numFmtId="0" fontId="0" fillId="4" borderId="3" xfId="0" applyFill="1" applyBorder="1"/>
    <xf numFmtId="0" fontId="0" fillId="8" borderId="3" xfId="0" applyFill="1" applyBorder="1"/>
    <xf numFmtId="0" fontId="0" fillId="5" borderId="3" xfId="0" applyFill="1" applyBorder="1"/>
    <xf numFmtId="0" fontId="8" fillId="5" borderId="3" xfId="0" applyFont="1" applyFill="1" applyBorder="1"/>
    <xf numFmtId="0" fontId="0" fillId="12" borderId="4" xfId="0" applyFill="1" applyBorder="1"/>
    <xf numFmtId="0" fontId="0" fillId="12" borderId="5" xfId="0" applyFill="1" applyBorder="1"/>
    <xf numFmtId="0" fontId="8" fillId="12" borderId="5" xfId="0" applyFont="1" applyFill="1" applyBorder="1"/>
    <xf numFmtId="0" fontId="4" fillId="12" borderId="5" xfId="0" applyFont="1" applyFill="1" applyBorder="1"/>
    <xf numFmtId="0" fontId="0" fillId="12" borderId="5" xfId="0" applyFill="1" applyBorder="1" applyAlignment="1">
      <alignment wrapText="1"/>
    </xf>
    <xf numFmtId="0" fontId="2" fillId="12" borderId="5" xfId="0" applyFont="1" applyFill="1" applyBorder="1"/>
    <xf numFmtId="0" fontId="0" fillId="12" borderId="6" xfId="0" applyFill="1" applyBorder="1"/>
    <xf numFmtId="0" fontId="8" fillId="12" borderId="4" xfId="0" applyFont="1" applyFill="1" applyBorder="1"/>
    <xf numFmtId="0" fontId="2" fillId="12" borderId="4" xfId="0" applyFont="1" applyFill="1" applyBorder="1"/>
  </cellXfs>
  <cellStyles count="3">
    <cellStyle name="Comma 2" xfId="2" xr:uid="{A8C59610-9FB8-42F6-A4F8-8166B303444C}"/>
    <cellStyle name="Normal 2" xfId="1" xr:uid="{531838FA-C07F-4096-9E01-1BD5C9D7939A}"/>
    <cellStyle name="Обычный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647707</xdr:colOff>
      <xdr:row>100</xdr:row>
      <xdr:rowOff>689205</xdr:rowOff>
    </xdr:from>
    <xdr:to>
      <xdr:col>6</xdr:col>
      <xdr:colOff>1314787</xdr:colOff>
      <xdr:row>101</xdr:row>
      <xdr:rowOff>866948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30" name="Рукописный ввод 29">
              <a:extLst>
                <a:ext uri="{FF2B5EF4-FFF2-40B4-BE49-F238E27FC236}">
                  <a16:creationId xmlns:a16="http://schemas.microsoft.com/office/drawing/2014/main" id="{8AFEEE06-ACF5-1AA5-6E8C-F044B36BBC86}"/>
                </a:ext>
              </a:extLst>
            </xdr14:cNvPr>
            <xdr14:cNvContentPartPr/>
          </xdr14:nvContentPartPr>
          <xdr14:nvPr macro=""/>
          <xdr14:xfrm>
            <a:off x="4104929" y="66355261"/>
            <a:ext cx="667080" cy="911520"/>
          </xdr14:xfrm>
        </xdr:contentPart>
      </mc:Choice>
      <mc:Fallback>
        <xdr:pic>
          <xdr:nvPicPr>
            <xdr:cNvPr id="30" name="Рукописный ввод 29">
              <a:extLst>
                <a:ext uri="{FF2B5EF4-FFF2-40B4-BE49-F238E27FC236}">
                  <a16:creationId xmlns:a16="http://schemas.microsoft.com/office/drawing/2014/main" id="{8AFEEE06-ACF5-1AA5-6E8C-F044B36BBC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87289" y="66337621"/>
              <a:ext cx="702720" cy="94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9T12:19:52.860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996.79102"/>
      <inkml:brushProperty name="anchorY" value="-4624.16455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5293.71582"/>
      <inkml:brushProperty name="anchorY" value="-5978.63281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6140.38232"/>
      <inkml:brushProperty name="anchorY" value="-6825.2998"/>
      <inkml:brushProperty name="scaleFactor" value="0.5"/>
    </inkml:brush>
  </inkml:definitions>
  <inkml:trace contextRef="#ctx0" brushRef="#br0">435 1456 24575,'0'0'0,"-6"0"0,-15-4 0,-11-7 0,-15-9 0,0 0 0,-5-4 0,9-1 0,3-4 0,6-2 0,5-4 0,4-1 0,4-3 0,5-4 0,5-4 0,4-9 0,4-7 0,6-2 0,5-5 0,8-7 0,5 1 0,9 3 0,9-1 0,4 4 0,6 3 0,-1 3 0,4 3 0,-2 5 0,-6 9 0,1 4 0,-2 8 0,2 6 0,8 4 0,3 7 0,3 7 0,1 4 0,5 4 0,-1 2 0,0 1 0,0 1 0,1 5 0,0 3 0,-1 7 0,-2 8 0,7 6 0,-5 8 0,3 8 0,-1 1 0,-6 5 0,-1-2 0,-10 6 0,-4-2 0,-12 2 0,-6 0 0,-9 1 0,-7 4 0,-6 2 0,-3-5 0,-2 1 0,-9-6 0,-5 0 0,-7 1 0,-10 0 0,-6-2 0,-8-3 0,-1-7 0,0 1 0,-3-2 0,1-5 0,-2 0 0,-2-4 0,2-4 0,1-3 0,8-3 0,-2-1 0,5-2 0,2-4 0,7 0 0,1 0 0,3-3 0,5 1 0,3 0 0,1-1 0,-1 0 0,0 6 0,0 2 0,-2 1 0,4 1 0,4-1 0,3 4 0,4 4 0,2-1 0,1-1 0,1-1 0,1-3 0,0-1 0,-1-1 0,1-1 0,-5-5 0,-3-3 0,-1-5 0</inkml:trace>
  <inkml:trace contextRef="#ctx0" brushRef="#br1" timeOffset="917.63">867 2358 24575,'0'0'0</inkml:trace>
  <inkml:trace contextRef="#ctx0" brushRef="#br2" timeOffset="2343.97">867 2358 24575,'0'0'0,"0"4"0,0 4 0,0 4 0,0 3 0,0 7 0,3-3 0,5 1 0,0-1 0,3 1 0,3-5 0,2-3 0,2-5 0,0-6 0,-2-7 0,-4-6 0,-4-4 0,-3-2 0,-3-2 0,-1 0 0,-2-1 0,-3 4 0,-5 4 0,-3 5 0,-4 3 0,2 7 0,-1 2 0,2 4 0,0 0 0,-1 0 0,-1-3 0,-2-1 0,3-1 0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BA9F-03BE-4BD1-94DC-6CE455F3F68A}">
  <dimension ref="A1:N111"/>
  <sheetViews>
    <sheetView tabSelected="1" topLeftCell="A57" zoomScale="90" zoomScaleNormal="90" workbookViewId="0">
      <selection activeCell="L60" sqref="L60"/>
    </sheetView>
  </sheetViews>
  <sheetFormatPr defaultRowHeight="14.5" x14ac:dyDescent="0.35"/>
  <cols>
    <col min="1" max="1" width="8.453125" customWidth="1"/>
    <col min="2" max="2" width="28.26953125" style="89" customWidth="1"/>
    <col min="3" max="3" width="5.7265625" bestFit="1" customWidth="1"/>
    <col min="4" max="4" width="7.90625" bestFit="1" customWidth="1"/>
    <col min="5" max="5" width="7.90625" customWidth="1"/>
    <col min="6" max="6" width="35.26953125" customWidth="1"/>
    <col min="7" max="7" width="27.1796875" bestFit="1" customWidth="1"/>
    <col min="8" max="8" width="12.7265625" bestFit="1" customWidth="1"/>
    <col min="9" max="9" width="31.7265625" customWidth="1"/>
    <col min="10" max="10" width="37.36328125" customWidth="1"/>
    <col min="11" max="11" width="14.26953125" bestFit="1" customWidth="1"/>
    <col min="12" max="12" width="88.453125" bestFit="1" customWidth="1"/>
    <col min="13" max="13" width="79.81640625" style="15" bestFit="1" customWidth="1"/>
    <col min="14" max="14" width="26.453125" customWidth="1"/>
  </cols>
  <sheetData>
    <row r="1" spans="1:13" ht="31.5" customHeight="1" x14ac:dyDescent="0.35">
      <c r="A1" s="74" t="s">
        <v>484</v>
      </c>
      <c r="B1" s="96" t="s">
        <v>483</v>
      </c>
      <c r="C1" s="77" t="s">
        <v>0</v>
      </c>
      <c r="D1" s="77" t="s">
        <v>482</v>
      </c>
      <c r="E1" s="77"/>
      <c r="F1" s="2" t="s">
        <v>1</v>
      </c>
      <c r="G1" s="2" t="s">
        <v>5</v>
      </c>
      <c r="H1" s="2" t="s">
        <v>2</v>
      </c>
      <c r="I1" s="2" t="s">
        <v>252</v>
      </c>
      <c r="J1" s="2" t="s">
        <v>253</v>
      </c>
      <c r="K1" s="2" t="s">
        <v>3</v>
      </c>
      <c r="L1" s="2" t="s">
        <v>76</v>
      </c>
      <c r="M1" s="12" t="s">
        <v>157</v>
      </c>
    </row>
    <row r="2" spans="1:13" x14ac:dyDescent="0.35">
      <c r="A2" t="s">
        <v>312</v>
      </c>
      <c r="B2" s="89" t="s">
        <v>432</v>
      </c>
      <c r="C2" s="78">
        <v>1</v>
      </c>
      <c r="D2" s="78" t="s">
        <v>481</v>
      </c>
      <c r="E2" s="78"/>
      <c r="F2" s="46" t="s">
        <v>4</v>
      </c>
      <c r="G2" s="1" t="s">
        <v>83</v>
      </c>
      <c r="H2" s="1" t="s">
        <v>79</v>
      </c>
      <c r="I2" s="1" t="s">
        <v>105</v>
      </c>
      <c r="J2" s="1" t="s">
        <v>254</v>
      </c>
      <c r="K2" s="1" t="s">
        <v>106</v>
      </c>
      <c r="L2" s="1" t="s">
        <v>107</v>
      </c>
      <c r="M2" s="13"/>
    </row>
    <row r="3" spans="1:13" ht="87" x14ac:dyDescent="0.35">
      <c r="A3" t="s">
        <v>312</v>
      </c>
      <c r="B3" s="92" t="s">
        <v>474</v>
      </c>
      <c r="C3" s="78">
        <v>2</v>
      </c>
      <c r="D3" s="78" t="s">
        <v>481</v>
      </c>
      <c r="E3" s="78"/>
      <c r="F3" s="46" t="s">
        <v>6</v>
      </c>
      <c r="G3" s="1"/>
      <c r="H3" s="1" t="s">
        <v>77</v>
      </c>
      <c r="I3" s="1" t="s">
        <v>109</v>
      </c>
      <c r="J3" s="1"/>
      <c r="K3" s="1" t="s">
        <v>106</v>
      </c>
      <c r="L3" s="3" t="s">
        <v>310</v>
      </c>
    </row>
    <row r="4" spans="1:13" ht="87" x14ac:dyDescent="0.35">
      <c r="A4" t="s">
        <v>312</v>
      </c>
      <c r="B4" s="89" t="s">
        <v>475</v>
      </c>
      <c r="C4" s="78">
        <v>3</v>
      </c>
      <c r="D4" s="78" t="s">
        <v>481</v>
      </c>
      <c r="E4" s="78"/>
      <c r="F4" s="46" t="s">
        <v>7</v>
      </c>
      <c r="G4" s="1" t="s">
        <v>75</v>
      </c>
      <c r="H4" s="1" t="s">
        <v>77</v>
      </c>
      <c r="I4" s="1" t="s">
        <v>110</v>
      </c>
      <c r="J4" s="1"/>
      <c r="K4" s="1" t="s">
        <v>106</v>
      </c>
      <c r="L4" s="3" t="s">
        <v>304</v>
      </c>
      <c r="M4" s="13"/>
    </row>
    <row r="5" spans="1:13" s="10" customFormat="1" ht="101.5" x14ac:dyDescent="0.35">
      <c r="A5" t="s">
        <v>312</v>
      </c>
      <c r="B5" s="90" t="s">
        <v>418</v>
      </c>
      <c r="C5" s="78">
        <v>4</v>
      </c>
      <c r="D5" s="78" t="s">
        <v>481</v>
      </c>
      <c r="E5" s="78"/>
      <c r="F5" s="45" t="s">
        <v>8</v>
      </c>
      <c r="G5" s="9"/>
      <c r="H5" s="9" t="s">
        <v>77</v>
      </c>
      <c r="I5" s="9" t="s">
        <v>196</v>
      </c>
      <c r="J5" s="9"/>
      <c r="K5" s="9" t="s">
        <v>106</v>
      </c>
      <c r="L5" s="11" t="s">
        <v>234</v>
      </c>
    </row>
    <row r="6" spans="1:13" ht="72.5" x14ac:dyDescent="0.35">
      <c r="A6" t="s">
        <v>312</v>
      </c>
      <c r="B6" s="89" t="s">
        <v>410</v>
      </c>
      <c r="C6" s="78">
        <v>5</v>
      </c>
      <c r="D6" s="78" t="s">
        <v>481</v>
      </c>
      <c r="E6" s="78"/>
      <c r="F6" s="47" t="s">
        <v>9</v>
      </c>
      <c r="G6" s="1"/>
      <c r="H6" s="1" t="s">
        <v>77</v>
      </c>
      <c r="I6" s="1" t="s">
        <v>111</v>
      </c>
      <c r="J6" s="1"/>
      <c r="K6" s="1" t="s">
        <v>106</v>
      </c>
      <c r="L6" s="3" t="s">
        <v>250</v>
      </c>
    </row>
    <row r="7" spans="1:13" ht="58" x14ac:dyDescent="0.35">
      <c r="A7" t="s">
        <v>312</v>
      </c>
      <c r="B7" s="89" t="s">
        <v>361</v>
      </c>
      <c r="C7" s="78">
        <v>6</v>
      </c>
      <c r="D7" s="78" t="s">
        <v>481</v>
      </c>
      <c r="E7" s="78"/>
      <c r="F7" s="48" t="s">
        <v>10</v>
      </c>
      <c r="G7" s="1"/>
      <c r="H7" s="1" t="s">
        <v>77</v>
      </c>
      <c r="I7" s="3" t="s">
        <v>189</v>
      </c>
      <c r="J7" s="3"/>
      <c r="K7" s="1" t="s">
        <v>106</v>
      </c>
      <c r="L7" s="11" t="s">
        <v>235</v>
      </c>
      <c r="M7" s="13"/>
    </row>
    <row r="8" spans="1:13" ht="58" x14ac:dyDescent="0.35">
      <c r="A8" t="s">
        <v>312</v>
      </c>
      <c r="B8" s="89" t="s">
        <v>383</v>
      </c>
      <c r="C8" s="78">
        <v>7</v>
      </c>
      <c r="D8" s="78" t="s">
        <v>481</v>
      </c>
      <c r="E8" s="78"/>
      <c r="F8" s="49" t="s">
        <v>74</v>
      </c>
      <c r="G8" s="1"/>
      <c r="H8" s="1" t="s">
        <v>77</v>
      </c>
      <c r="I8" s="1" t="s">
        <v>187</v>
      </c>
      <c r="J8" s="1"/>
      <c r="K8" s="1" t="s">
        <v>106</v>
      </c>
      <c r="L8" s="11" t="s">
        <v>236</v>
      </c>
      <c r="M8" s="13"/>
    </row>
    <row r="9" spans="1:13" x14ac:dyDescent="0.35">
      <c r="A9" t="s">
        <v>312</v>
      </c>
      <c r="C9" s="78">
        <v>8</v>
      </c>
      <c r="D9" s="78" t="s">
        <v>481</v>
      </c>
      <c r="E9" s="78"/>
      <c r="F9" s="50" t="s">
        <v>11</v>
      </c>
      <c r="G9" s="1"/>
      <c r="H9" s="1" t="s">
        <v>79</v>
      </c>
      <c r="I9" s="1" t="s">
        <v>108</v>
      </c>
      <c r="J9" s="1" t="s">
        <v>255</v>
      </c>
      <c r="K9" s="1" t="s">
        <v>106</v>
      </c>
      <c r="L9" s="1"/>
      <c r="M9" s="13"/>
    </row>
    <row r="10" spans="1:13" x14ac:dyDescent="0.35">
      <c r="A10" t="s">
        <v>312</v>
      </c>
      <c r="B10" s="89" t="s">
        <v>416</v>
      </c>
      <c r="C10" s="78">
        <v>9</v>
      </c>
      <c r="D10" s="78" t="s">
        <v>481</v>
      </c>
      <c r="E10" s="78"/>
      <c r="F10" s="47" t="s">
        <v>12</v>
      </c>
      <c r="G10" s="1"/>
      <c r="H10" s="1" t="s">
        <v>77</v>
      </c>
      <c r="I10" s="1" t="s">
        <v>134</v>
      </c>
      <c r="J10" s="1"/>
      <c r="K10" s="1" t="s">
        <v>106</v>
      </c>
      <c r="L10" s="3"/>
      <c r="M10" s="13"/>
    </row>
    <row r="11" spans="1:13" ht="101.5" x14ac:dyDescent="0.35">
      <c r="A11" t="s">
        <v>312</v>
      </c>
      <c r="B11" s="92" t="s">
        <v>476</v>
      </c>
      <c r="C11" s="78">
        <v>10</v>
      </c>
      <c r="D11" s="78" t="s">
        <v>481</v>
      </c>
      <c r="E11" s="78"/>
      <c r="F11" s="50" t="s">
        <v>13</v>
      </c>
      <c r="G11" s="1"/>
      <c r="H11" s="1" t="s">
        <v>79</v>
      </c>
      <c r="I11" s="1" t="s">
        <v>119</v>
      </c>
      <c r="J11" s="11" t="s">
        <v>305</v>
      </c>
      <c r="K11" s="1" t="s">
        <v>106</v>
      </c>
      <c r="L11" s="11" t="s">
        <v>305</v>
      </c>
      <c r="M11" s="13"/>
    </row>
    <row r="12" spans="1:13" x14ac:dyDescent="0.35">
      <c r="A12" t="s">
        <v>312</v>
      </c>
      <c r="B12" s="89" t="s">
        <v>422</v>
      </c>
      <c r="C12" s="78">
        <v>11</v>
      </c>
      <c r="D12" s="78" t="s">
        <v>481</v>
      </c>
      <c r="E12" s="78"/>
      <c r="F12" s="51" t="s">
        <v>14</v>
      </c>
      <c r="G12" s="1" t="s">
        <v>78</v>
      </c>
      <c r="H12" s="1" t="s">
        <v>79</v>
      </c>
      <c r="I12" s="1" t="s">
        <v>112</v>
      </c>
      <c r="J12" s="1" t="s">
        <v>256</v>
      </c>
      <c r="K12" s="1" t="s">
        <v>106</v>
      </c>
      <c r="L12" s="1" t="s">
        <v>237</v>
      </c>
      <c r="M12" s="13"/>
    </row>
    <row r="13" spans="1:13" x14ac:dyDescent="0.35">
      <c r="A13" t="s">
        <v>312</v>
      </c>
      <c r="B13" s="89" t="s">
        <v>389</v>
      </c>
      <c r="C13" s="78">
        <v>12</v>
      </c>
      <c r="D13" s="78" t="s">
        <v>481</v>
      </c>
      <c r="E13" s="78"/>
      <c r="F13" s="51" t="s">
        <v>115</v>
      </c>
      <c r="G13" s="1" t="s">
        <v>80</v>
      </c>
      <c r="H13" s="1" t="s">
        <v>79</v>
      </c>
      <c r="I13" s="1" t="s">
        <v>114</v>
      </c>
      <c r="J13" t="s">
        <v>258</v>
      </c>
      <c r="K13" s="1" t="s">
        <v>106</v>
      </c>
      <c r="L13" s="1"/>
      <c r="M13" s="13"/>
    </row>
    <row r="14" spans="1:13" x14ac:dyDescent="0.35">
      <c r="A14" t="s">
        <v>312</v>
      </c>
      <c r="B14" s="89" t="s">
        <v>393</v>
      </c>
      <c r="C14" s="78">
        <v>13</v>
      </c>
      <c r="D14" s="78" t="s">
        <v>481</v>
      </c>
      <c r="E14" s="78"/>
      <c r="F14" s="52" t="s">
        <v>116</v>
      </c>
      <c r="G14" s="1" t="s">
        <v>81</v>
      </c>
      <c r="H14" s="1" t="s">
        <v>79</v>
      </c>
      <c r="I14" s="1" t="s">
        <v>113</v>
      </c>
      <c r="J14" s="1" t="s">
        <v>259</v>
      </c>
      <c r="K14" s="1" t="s">
        <v>106</v>
      </c>
      <c r="L14" s="1"/>
      <c r="M14" s="13"/>
    </row>
    <row r="15" spans="1:13" x14ac:dyDescent="0.35">
      <c r="A15" t="s">
        <v>312</v>
      </c>
      <c r="B15" s="89" t="s">
        <v>362</v>
      </c>
      <c r="C15" s="78">
        <v>14</v>
      </c>
      <c r="D15" s="78" t="s">
        <v>481</v>
      </c>
      <c r="E15" s="78"/>
      <c r="F15" s="50" t="s">
        <v>15</v>
      </c>
      <c r="G15" s="1" t="s">
        <v>82</v>
      </c>
      <c r="H15" s="1" t="s">
        <v>79</v>
      </c>
      <c r="I15" s="1" t="s">
        <v>117</v>
      </c>
      <c r="J15" s="1" t="s">
        <v>260</v>
      </c>
      <c r="K15" s="1" t="s">
        <v>106</v>
      </c>
      <c r="L15" s="1" t="s">
        <v>118</v>
      </c>
      <c r="M15" s="13"/>
    </row>
    <row r="16" spans="1:13" x14ac:dyDescent="0.35">
      <c r="A16" t="s">
        <v>312</v>
      </c>
      <c r="B16" s="89" t="s">
        <v>396</v>
      </c>
      <c r="C16" s="78">
        <v>15</v>
      </c>
      <c r="D16" s="78" t="s">
        <v>481</v>
      </c>
      <c r="E16" s="78"/>
      <c r="F16" s="50" t="s">
        <v>16</v>
      </c>
      <c r="G16" s="1"/>
      <c r="H16" s="1" t="s">
        <v>79</v>
      </c>
      <c r="I16" s="1" t="s">
        <v>120</v>
      </c>
      <c r="J16" s="1" t="s">
        <v>289</v>
      </c>
      <c r="K16" s="1" t="s">
        <v>106</v>
      </c>
      <c r="L16" s="1"/>
      <c r="M16" s="13"/>
    </row>
    <row r="17" spans="1:13" x14ac:dyDescent="0.35">
      <c r="A17" t="s">
        <v>312</v>
      </c>
      <c r="B17" s="89" t="s">
        <v>395</v>
      </c>
      <c r="C17" s="78">
        <v>16</v>
      </c>
      <c r="D17" s="78" t="s">
        <v>481</v>
      </c>
      <c r="E17" s="78"/>
      <c r="F17" s="50" t="s">
        <v>17</v>
      </c>
      <c r="G17" s="1"/>
      <c r="H17" s="1" t="s">
        <v>79</v>
      </c>
      <c r="I17" s="7" t="s">
        <v>121</v>
      </c>
      <c r="J17" s="1" t="s">
        <v>294</v>
      </c>
      <c r="K17" s="1" t="s">
        <v>106</v>
      </c>
      <c r="L17" s="1"/>
      <c r="M17" s="13"/>
    </row>
    <row r="18" spans="1:13" x14ac:dyDescent="0.35">
      <c r="A18" t="s">
        <v>312</v>
      </c>
      <c r="B18" s="89" t="s">
        <v>394</v>
      </c>
      <c r="C18" s="78">
        <v>17</v>
      </c>
      <c r="D18" s="78" t="s">
        <v>481</v>
      </c>
      <c r="E18" s="78"/>
      <c r="F18" s="50" t="s">
        <v>228</v>
      </c>
      <c r="G18" s="1"/>
      <c r="H18" s="1" t="s">
        <v>79</v>
      </c>
      <c r="I18" s="7" t="s">
        <v>122</v>
      </c>
      <c r="J18" s="1" t="s">
        <v>295</v>
      </c>
      <c r="K18" s="1" t="s">
        <v>106</v>
      </c>
      <c r="L18" s="1"/>
      <c r="M18" s="13"/>
    </row>
    <row r="19" spans="1:13" x14ac:dyDescent="0.35">
      <c r="A19" t="s">
        <v>312</v>
      </c>
      <c r="B19" s="89" t="s">
        <v>397</v>
      </c>
      <c r="C19" s="78">
        <v>18</v>
      </c>
      <c r="D19" s="78" t="s">
        <v>481</v>
      </c>
      <c r="E19" s="78"/>
      <c r="F19" s="50" t="s">
        <v>229</v>
      </c>
      <c r="G19" s="1"/>
      <c r="H19" s="1" t="s">
        <v>79</v>
      </c>
      <c r="I19" s="7" t="s">
        <v>123</v>
      </c>
      <c r="J19" s="1" t="s">
        <v>295</v>
      </c>
      <c r="K19" s="1" t="s">
        <v>106</v>
      </c>
      <c r="L19" s="1"/>
      <c r="M19" s="13"/>
    </row>
    <row r="20" spans="1:13" ht="72.5" x14ac:dyDescent="0.35">
      <c r="A20" t="s">
        <v>312</v>
      </c>
      <c r="B20" s="92" t="s">
        <v>477</v>
      </c>
      <c r="C20" s="78">
        <v>19</v>
      </c>
      <c r="D20" s="78" t="s">
        <v>481</v>
      </c>
      <c r="E20" s="78"/>
      <c r="F20" s="50" t="s">
        <v>18</v>
      </c>
      <c r="G20" s="1"/>
      <c r="H20" s="1" t="s">
        <v>79</v>
      </c>
      <c r="I20" s="7" t="s">
        <v>124</v>
      </c>
      <c r="J20" t="s">
        <v>306</v>
      </c>
      <c r="K20" s="1" t="s">
        <v>106</v>
      </c>
      <c r="L20" s="1" t="s">
        <v>262</v>
      </c>
      <c r="M20" s="13"/>
    </row>
    <row r="21" spans="1:13" ht="29" x14ac:dyDescent="0.35">
      <c r="A21" t="s">
        <v>312</v>
      </c>
      <c r="B21" s="89" t="s">
        <v>380</v>
      </c>
      <c r="C21" s="78">
        <v>20</v>
      </c>
      <c r="D21" s="78" t="s">
        <v>481</v>
      </c>
      <c r="E21" s="78"/>
      <c r="F21" s="47" t="s">
        <v>19</v>
      </c>
      <c r="G21" s="1"/>
      <c r="H21" s="1" t="s">
        <v>79</v>
      </c>
      <c r="I21" s="1" t="s">
        <v>135</v>
      </c>
      <c r="J21" s="1" t="s">
        <v>263</v>
      </c>
      <c r="K21" s="1" t="s">
        <v>106</v>
      </c>
      <c r="L21" s="3" t="s">
        <v>138</v>
      </c>
      <c r="M21" s="13"/>
    </row>
    <row r="22" spans="1:13" x14ac:dyDescent="0.35">
      <c r="A22" t="s">
        <v>312</v>
      </c>
      <c r="B22" s="89" t="s">
        <v>348</v>
      </c>
      <c r="C22" s="78">
        <v>21</v>
      </c>
      <c r="D22" s="78" t="s">
        <v>481</v>
      </c>
      <c r="E22" s="78"/>
      <c r="F22" s="50" t="s">
        <v>20</v>
      </c>
      <c r="G22" s="1"/>
      <c r="H22" s="1" t="s">
        <v>79</v>
      </c>
      <c r="I22" s="1"/>
      <c r="J22" s="1" t="s">
        <v>265</v>
      </c>
      <c r="K22" s="1" t="s">
        <v>106</v>
      </c>
      <c r="L22" s="1" t="s">
        <v>136</v>
      </c>
      <c r="M22" s="13"/>
    </row>
    <row r="23" spans="1:13" x14ac:dyDescent="0.35">
      <c r="A23" t="s">
        <v>312</v>
      </c>
      <c r="B23" s="89" t="s">
        <v>349</v>
      </c>
      <c r="C23" s="78">
        <v>22</v>
      </c>
      <c r="D23" s="78" t="s">
        <v>481</v>
      </c>
      <c r="E23" s="78"/>
      <c r="F23" s="50" t="s">
        <v>21</v>
      </c>
      <c r="G23" s="1"/>
      <c r="H23" s="1" t="s">
        <v>79</v>
      </c>
      <c r="I23" s="1"/>
      <c r="J23" s="1" t="s">
        <v>264</v>
      </c>
      <c r="K23" s="1" t="s">
        <v>106</v>
      </c>
      <c r="L23" s="1" t="s">
        <v>137</v>
      </c>
      <c r="M23" s="13"/>
    </row>
    <row r="24" spans="1:13" x14ac:dyDescent="0.35">
      <c r="A24" t="s">
        <v>312</v>
      </c>
      <c r="B24" s="89" t="s">
        <v>428</v>
      </c>
      <c r="C24" s="78">
        <v>23</v>
      </c>
      <c r="D24" s="78" t="s">
        <v>481</v>
      </c>
      <c r="E24" s="78"/>
      <c r="F24" s="50" t="s">
        <v>22</v>
      </c>
      <c r="G24" s="1"/>
      <c r="H24" s="1" t="s">
        <v>79</v>
      </c>
      <c r="I24" s="1" t="s">
        <v>139</v>
      </c>
      <c r="J24" s="1" t="s">
        <v>290</v>
      </c>
      <c r="K24" s="1" t="s">
        <v>106</v>
      </c>
      <c r="L24" s="1" t="s">
        <v>139</v>
      </c>
      <c r="M24" s="13"/>
    </row>
    <row r="25" spans="1:13" x14ac:dyDescent="0.35">
      <c r="A25" t="s">
        <v>312</v>
      </c>
      <c r="B25" s="89" t="s">
        <v>430</v>
      </c>
      <c r="C25" s="78">
        <v>24</v>
      </c>
      <c r="D25" s="78" t="s">
        <v>481</v>
      </c>
      <c r="E25" s="78"/>
      <c r="F25" s="50" t="s">
        <v>23</v>
      </c>
      <c r="G25" s="1"/>
      <c r="H25" s="1" t="s">
        <v>79</v>
      </c>
      <c r="I25" s="1" t="s">
        <v>140</v>
      </c>
      <c r="J25" s="1" t="s">
        <v>266</v>
      </c>
      <c r="K25" s="1" t="s">
        <v>106</v>
      </c>
      <c r="L25" s="1" t="s">
        <v>140</v>
      </c>
      <c r="M25" s="13"/>
    </row>
    <row r="26" spans="1:13" s="8" customFormat="1" ht="29" x14ac:dyDescent="0.35">
      <c r="A26" t="s">
        <v>312</v>
      </c>
      <c r="B26" s="90" t="s">
        <v>356</v>
      </c>
      <c r="C26" s="79">
        <v>25</v>
      </c>
      <c r="D26" s="78" t="s">
        <v>481</v>
      </c>
      <c r="E26" s="78"/>
      <c r="F26" s="47" t="s">
        <v>24</v>
      </c>
      <c r="G26" s="7"/>
      <c r="H26" s="7" t="s">
        <v>79</v>
      </c>
      <c r="I26" s="7" t="s">
        <v>141</v>
      </c>
      <c r="J26" s="7" t="s">
        <v>288</v>
      </c>
      <c r="K26" s="7" t="s">
        <v>106</v>
      </c>
      <c r="L26" s="17" t="s">
        <v>142</v>
      </c>
      <c r="M26" s="16"/>
    </row>
    <row r="27" spans="1:13" ht="58" x14ac:dyDescent="0.35">
      <c r="A27" t="s">
        <v>312</v>
      </c>
      <c r="B27" s="89" t="s">
        <v>412</v>
      </c>
      <c r="C27" s="78">
        <v>26</v>
      </c>
      <c r="D27" s="78" t="s">
        <v>481</v>
      </c>
      <c r="E27" s="78"/>
      <c r="F27" s="43" t="s">
        <v>25</v>
      </c>
      <c r="G27" s="1"/>
      <c r="H27" s="1" t="s">
        <v>77</v>
      </c>
      <c r="I27" s="1" t="s">
        <v>127</v>
      </c>
      <c r="J27" s="1"/>
      <c r="K27" s="1" t="s">
        <v>106</v>
      </c>
      <c r="L27" s="11" t="s">
        <v>238</v>
      </c>
    </row>
    <row r="28" spans="1:13" ht="58" x14ac:dyDescent="0.35">
      <c r="A28" t="s">
        <v>312</v>
      </c>
      <c r="B28" s="89" t="s">
        <v>405</v>
      </c>
      <c r="C28" s="78">
        <v>27</v>
      </c>
      <c r="D28" s="78" t="s">
        <v>481</v>
      </c>
      <c r="E28" s="78"/>
      <c r="F28" s="43" t="s">
        <v>156</v>
      </c>
      <c r="G28" s="1"/>
      <c r="H28" s="1" t="s">
        <v>77</v>
      </c>
      <c r="I28" s="1" t="s">
        <v>126</v>
      </c>
      <c r="J28" s="1"/>
      <c r="K28" s="1" t="s">
        <v>106</v>
      </c>
      <c r="L28" s="11" t="s">
        <v>239</v>
      </c>
    </row>
    <row r="29" spans="1:13" ht="58" x14ac:dyDescent="0.35">
      <c r="A29" t="s">
        <v>312</v>
      </c>
      <c r="B29" s="89" t="s">
        <v>406</v>
      </c>
      <c r="C29" s="78">
        <v>28</v>
      </c>
      <c r="D29" s="78" t="s">
        <v>481</v>
      </c>
      <c r="E29" s="78"/>
      <c r="F29" s="43" t="s">
        <v>197</v>
      </c>
      <c r="G29" s="1" t="s">
        <v>132</v>
      </c>
      <c r="H29" s="1" t="s">
        <v>77</v>
      </c>
      <c r="I29" s="1" t="s">
        <v>125</v>
      </c>
      <c r="J29" s="1"/>
      <c r="K29" s="1" t="s">
        <v>106</v>
      </c>
      <c r="L29" s="11" t="s">
        <v>240</v>
      </c>
    </row>
    <row r="30" spans="1:13" ht="58" x14ac:dyDescent="0.35">
      <c r="A30" t="s">
        <v>312</v>
      </c>
      <c r="B30" s="89" t="s">
        <v>409</v>
      </c>
      <c r="C30" s="78">
        <v>29</v>
      </c>
      <c r="D30" s="78" t="s">
        <v>481</v>
      </c>
      <c r="E30" s="78"/>
      <c r="F30" s="43" t="s">
        <v>26</v>
      </c>
      <c r="G30" s="1" t="s">
        <v>131</v>
      </c>
      <c r="H30" s="1" t="s">
        <v>77</v>
      </c>
      <c r="I30" s="1" t="s">
        <v>144</v>
      </c>
      <c r="J30" s="1"/>
      <c r="K30" s="1" t="s">
        <v>293</v>
      </c>
      <c r="L30" s="11" t="s">
        <v>241</v>
      </c>
    </row>
    <row r="31" spans="1:13" ht="72.5" x14ac:dyDescent="0.35">
      <c r="A31" t="s">
        <v>312</v>
      </c>
      <c r="B31" s="89" t="s">
        <v>407</v>
      </c>
      <c r="C31" s="78">
        <v>30</v>
      </c>
      <c r="D31" s="78" t="s">
        <v>481</v>
      </c>
      <c r="E31" s="78"/>
      <c r="F31" s="43" t="s">
        <v>27</v>
      </c>
      <c r="G31" s="1" t="s">
        <v>130</v>
      </c>
      <c r="H31" s="1" t="s">
        <v>77</v>
      </c>
      <c r="I31" s="1" t="s">
        <v>128</v>
      </c>
      <c r="J31" s="1"/>
      <c r="K31" s="1" t="s">
        <v>106</v>
      </c>
      <c r="L31" s="11" t="s">
        <v>242</v>
      </c>
    </row>
    <row r="32" spans="1:13" s="10" customFormat="1" x14ac:dyDescent="0.35">
      <c r="A32" t="s">
        <v>312</v>
      </c>
      <c r="B32" s="90" t="s">
        <v>354</v>
      </c>
      <c r="C32" s="80">
        <v>31</v>
      </c>
      <c r="D32" s="78" t="s">
        <v>481</v>
      </c>
      <c r="E32" s="78"/>
      <c r="F32" s="44" t="s">
        <v>28</v>
      </c>
      <c r="G32" s="9" t="s">
        <v>129</v>
      </c>
      <c r="H32" s="9" t="s">
        <v>79</v>
      </c>
      <c r="I32" s="9" t="s">
        <v>143</v>
      </c>
      <c r="J32" s="9" t="s">
        <v>267</v>
      </c>
      <c r="K32" s="9" t="s">
        <v>106</v>
      </c>
      <c r="L32" s="9"/>
      <c r="M32" s="21"/>
    </row>
    <row r="33" spans="1:13" x14ac:dyDescent="0.35">
      <c r="A33" t="s">
        <v>312</v>
      </c>
      <c r="B33" s="89" t="s">
        <v>403</v>
      </c>
      <c r="C33" s="78">
        <v>32</v>
      </c>
      <c r="D33" s="78" t="s">
        <v>481</v>
      </c>
      <c r="E33" s="78"/>
      <c r="F33" s="44" t="s">
        <v>29</v>
      </c>
      <c r="G33" s="1"/>
      <c r="H33" s="1" t="s">
        <v>79</v>
      </c>
      <c r="I33" s="1" t="s">
        <v>145</v>
      </c>
      <c r="J33" s="1" t="s">
        <v>268</v>
      </c>
      <c r="K33" s="1" t="s">
        <v>106</v>
      </c>
      <c r="L33" s="1"/>
      <c r="M33" s="13"/>
    </row>
    <row r="34" spans="1:13" x14ac:dyDescent="0.35">
      <c r="A34" t="s">
        <v>312</v>
      </c>
      <c r="B34" s="89" t="s">
        <v>353</v>
      </c>
      <c r="C34" s="78">
        <v>33</v>
      </c>
      <c r="D34" s="78" t="s">
        <v>481</v>
      </c>
      <c r="E34" s="78"/>
      <c r="F34" s="44" t="s">
        <v>30</v>
      </c>
      <c r="G34" s="1"/>
      <c r="H34" s="1" t="s">
        <v>79</v>
      </c>
      <c r="I34" s="1" t="s">
        <v>145</v>
      </c>
      <c r="J34" s="1" t="s">
        <v>268</v>
      </c>
      <c r="K34" s="1" t="s">
        <v>106</v>
      </c>
      <c r="L34" s="1"/>
      <c r="M34" s="13"/>
    </row>
    <row r="35" spans="1:13" x14ac:dyDescent="0.35">
      <c r="A35" t="s">
        <v>312</v>
      </c>
      <c r="B35" s="89" t="s">
        <v>382</v>
      </c>
      <c r="C35" s="78">
        <v>34</v>
      </c>
      <c r="D35" s="78" t="s">
        <v>481</v>
      </c>
      <c r="E35" s="78"/>
      <c r="F35" s="44" t="s">
        <v>31</v>
      </c>
      <c r="G35" s="1"/>
      <c r="H35" s="1" t="s">
        <v>79</v>
      </c>
      <c r="I35" s="1" t="s">
        <v>146</v>
      </c>
      <c r="J35" t="s">
        <v>269</v>
      </c>
      <c r="K35" s="1" t="s">
        <v>106</v>
      </c>
      <c r="L35" s="1"/>
      <c r="M35" s="13"/>
    </row>
    <row r="36" spans="1:13" x14ac:dyDescent="0.35">
      <c r="A36" t="s">
        <v>312</v>
      </c>
      <c r="B36" s="89" t="s">
        <v>415</v>
      </c>
      <c r="C36" s="78">
        <v>35</v>
      </c>
      <c r="D36" s="78" t="s">
        <v>481</v>
      </c>
      <c r="E36" s="78"/>
      <c r="F36" s="44" t="s">
        <v>32</v>
      </c>
      <c r="G36" s="1"/>
      <c r="H36" s="1" t="s">
        <v>79</v>
      </c>
      <c r="I36" s="1" t="s">
        <v>31</v>
      </c>
      <c r="J36" t="s">
        <v>270</v>
      </c>
      <c r="K36" s="1" t="s">
        <v>106</v>
      </c>
      <c r="L36" s="1"/>
      <c r="M36" s="13"/>
    </row>
    <row r="37" spans="1:13" x14ac:dyDescent="0.35">
      <c r="A37" t="s">
        <v>312</v>
      </c>
      <c r="B37" s="89" t="s">
        <v>381</v>
      </c>
      <c r="C37" s="78">
        <v>36</v>
      </c>
      <c r="D37" s="78" t="s">
        <v>481</v>
      </c>
      <c r="E37" s="78"/>
      <c r="F37" s="44" t="s">
        <v>33</v>
      </c>
      <c r="G37" s="1"/>
      <c r="H37" s="1" t="s">
        <v>79</v>
      </c>
      <c r="I37" s="1" t="s">
        <v>147</v>
      </c>
      <c r="J37" t="s">
        <v>271</v>
      </c>
      <c r="K37" s="1" t="s">
        <v>106</v>
      </c>
      <c r="L37" s="1"/>
      <c r="M37" s="13"/>
    </row>
    <row r="38" spans="1:13" x14ac:dyDescent="0.35">
      <c r="A38" t="s">
        <v>312</v>
      </c>
      <c r="B38" s="89" t="s">
        <v>414</v>
      </c>
      <c r="C38" s="78">
        <v>37</v>
      </c>
      <c r="D38" s="78" t="s">
        <v>481</v>
      </c>
      <c r="E38" s="78"/>
      <c r="F38" s="44" t="s">
        <v>34</v>
      </c>
      <c r="G38" s="1"/>
      <c r="H38" s="1" t="s">
        <v>79</v>
      </c>
      <c r="I38" s="1" t="s">
        <v>33</v>
      </c>
      <c r="J38" t="s">
        <v>272</v>
      </c>
      <c r="K38" s="1" t="s">
        <v>106</v>
      </c>
      <c r="L38" s="1"/>
      <c r="M38" s="13"/>
    </row>
    <row r="39" spans="1:13" s="26" customFormat="1" ht="29" x14ac:dyDescent="0.35">
      <c r="A39" t="s">
        <v>312</v>
      </c>
      <c r="B39" s="92" t="s">
        <v>478</v>
      </c>
      <c r="C39" s="81">
        <v>38</v>
      </c>
      <c r="D39" s="78" t="s">
        <v>481</v>
      </c>
      <c r="E39" s="78"/>
      <c r="F39" s="44" t="s">
        <v>35</v>
      </c>
      <c r="G39" s="1"/>
      <c r="H39" s="1" t="s">
        <v>79</v>
      </c>
      <c r="I39" s="1" t="s">
        <v>273</v>
      </c>
      <c r="J39" t="s">
        <v>292</v>
      </c>
      <c r="K39" s="1" t="s">
        <v>133</v>
      </c>
      <c r="L39" s="22"/>
      <c r="M39" s="23" t="s">
        <v>274</v>
      </c>
    </row>
    <row r="40" spans="1:13" x14ac:dyDescent="0.35">
      <c r="A40" t="s">
        <v>312</v>
      </c>
      <c r="B40" s="89" t="s">
        <v>369</v>
      </c>
      <c r="C40" s="78">
        <v>39</v>
      </c>
      <c r="D40" s="78" t="s">
        <v>481</v>
      </c>
      <c r="E40" s="78"/>
      <c r="F40" s="44" t="s">
        <v>36</v>
      </c>
      <c r="G40" s="1"/>
      <c r="H40" s="1" t="s">
        <v>79</v>
      </c>
      <c r="I40" s="1" t="s">
        <v>148</v>
      </c>
      <c r="J40" t="s">
        <v>257</v>
      </c>
      <c r="K40" s="1" t="s">
        <v>106</v>
      </c>
      <c r="L40" s="1"/>
      <c r="M40" s="13"/>
    </row>
    <row r="41" spans="1:13" ht="246.5" x14ac:dyDescent="0.35">
      <c r="A41" t="s">
        <v>312</v>
      </c>
      <c r="B41" s="89" t="s">
        <v>423</v>
      </c>
      <c r="C41" s="78">
        <v>40</v>
      </c>
      <c r="D41" s="78" t="s">
        <v>481</v>
      </c>
      <c r="E41" s="78"/>
      <c r="F41" s="53" t="s">
        <v>37</v>
      </c>
      <c r="G41" s="7"/>
      <c r="H41" s="1" t="s">
        <v>77</v>
      </c>
      <c r="I41" s="7"/>
      <c r="J41" s="7"/>
      <c r="K41" s="7" t="s">
        <v>293</v>
      </c>
      <c r="L41" s="3" t="s">
        <v>307</v>
      </c>
      <c r="M41" s="14" t="s">
        <v>244</v>
      </c>
    </row>
    <row r="42" spans="1:13" x14ac:dyDescent="0.35">
      <c r="A42" t="s">
        <v>312</v>
      </c>
      <c r="B42" s="89" t="s">
        <v>370</v>
      </c>
      <c r="C42" s="78">
        <v>41</v>
      </c>
      <c r="D42" s="78" t="s">
        <v>481</v>
      </c>
      <c r="E42" s="78"/>
      <c r="F42" s="54" t="s">
        <v>179</v>
      </c>
      <c r="G42" s="1"/>
      <c r="H42" s="1" t="s">
        <v>77</v>
      </c>
      <c r="I42" s="1" t="s">
        <v>308</v>
      </c>
      <c r="J42" s="1" t="s">
        <v>309</v>
      </c>
      <c r="K42" s="1" t="s">
        <v>106</v>
      </c>
      <c r="L42" s="1"/>
      <c r="M42" s="13"/>
    </row>
    <row r="43" spans="1:13" ht="145" x14ac:dyDescent="0.35">
      <c r="A43" t="s">
        <v>312</v>
      </c>
      <c r="B43" s="89" t="s">
        <v>392</v>
      </c>
      <c r="C43" s="78">
        <v>42</v>
      </c>
      <c r="D43" s="78" t="s">
        <v>481</v>
      </c>
      <c r="E43" s="78"/>
      <c r="F43" s="55" t="s">
        <v>38</v>
      </c>
      <c r="G43" s="1"/>
      <c r="H43" s="1" t="s">
        <v>77</v>
      </c>
      <c r="I43" s="3"/>
      <c r="J43" s="3"/>
      <c r="K43" s="1" t="s">
        <v>106</v>
      </c>
      <c r="L43" s="3" t="s">
        <v>243</v>
      </c>
      <c r="M43" s="13"/>
    </row>
    <row r="44" spans="1:13" x14ac:dyDescent="0.35">
      <c r="A44" t="s">
        <v>312</v>
      </c>
      <c r="B44" s="89" t="s">
        <v>357</v>
      </c>
      <c r="C44" s="78">
        <v>43</v>
      </c>
      <c r="D44" s="78" t="s">
        <v>481</v>
      </c>
      <c r="E44" s="78"/>
      <c r="F44" s="56" t="s">
        <v>311</v>
      </c>
      <c r="G44" s="1"/>
      <c r="H44" s="1" t="s">
        <v>79</v>
      </c>
      <c r="I44" s="1" t="s">
        <v>151</v>
      </c>
      <c r="J44" s="1" t="s">
        <v>275</v>
      </c>
      <c r="K44" s="1" t="s">
        <v>106</v>
      </c>
      <c r="L44" s="1"/>
      <c r="M44" s="13"/>
    </row>
    <row r="45" spans="1:13" x14ac:dyDescent="0.35">
      <c r="A45" t="s">
        <v>312</v>
      </c>
      <c r="B45" s="89" t="s">
        <v>388</v>
      </c>
      <c r="C45" s="78">
        <v>44</v>
      </c>
      <c r="D45" s="78" t="s">
        <v>481</v>
      </c>
      <c r="E45" s="78"/>
      <c r="F45" s="54" t="s">
        <v>39</v>
      </c>
      <c r="G45" s="1"/>
      <c r="H45" s="1" t="s">
        <v>79</v>
      </c>
      <c r="I45" s="1" t="s">
        <v>149</v>
      </c>
      <c r="J45" t="s">
        <v>276</v>
      </c>
      <c r="K45" s="1" t="s">
        <v>106</v>
      </c>
      <c r="L45" s="1"/>
      <c r="M45" s="13"/>
    </row>
    <row r="46" spans="1:13" x14ac:dyDescent="0.35">
      <c r="A46" t="s">
        <v>312</v>
      </c>
      <c r="B46" s="89" t="s">
        <v>358</v>
      </c>
      <c r="C46" s="78">
        <v>45</v>
      </c>
      <c r="D46" s="78" t="s">
        <v>481</v>
      </c>
      <c r="E46" s="78"/>
      <c r="F46" s="54" t="s">
        <v>40</v>
      </c>
      <c r="G46" s="1"/>
      <c r="H46" s="1" t="s">
        <v>79</v>
      </c>
      <c r="I46" s="1" t="s">
        <v>150</v>
      </c>
      <c r="J46" t="s">
        <v>277</v>
      </c>
      <c r="K46" s="1" t="s">
        <v>106</v>
      </c>
      <c r="L46" s="1"/>
      <c r="M46" s="13"/>
    </row>
    <row r="47" spans="1:13" x14ac:dyDescent="0.35">
      <c r="A47" t="s">
        <v>312</v>
      </c>
      <c r="B47" s="89" t="s">
        <v>429</v>
      </c>
      <c r="C47" s="78">
        <v>46</v>
      </c>
      <c r="D47" s="78" t="s">
        <v>481</v>
      </c>
      <c r="E47" s="78"/>
      <c r="F47" s="54" t="s">
        <v>41</v>
      </c>
      <c r="G47" s="1"/>
      <c r="H47" s="1" t="s">
        <v>79</v>
      </c>
      <c r="I47" s="1" t="s">
        <v>152</v>
      </c>
      <c r="J47" t="s">
        <v>278</v>
      </c>
      <c r="K47" s="1" t="s">
        <v>106</v>
      </c>
      <c r="L47" s="1"/>
      <c r="M47" s="13"/>
    </row>
    <row r="48" spans="1:13" x14ac:dyDescent="0.35">
      <c r="A48" t="s">
        <v>312</v>
      </c>
      <c r="B48" s="89" t="s">
        <v>402</v>
      </c>
      <c r="C48" s="78">
        <v>47</v>
      </c>
      <c r="D48" s="78" t="s">
        <v>481</v>
      </c>
      <c r="E48" s="78"/>
      <c r="F48" s="54" t="s">
        <v>42</v>
      </c>
      <c r="G48" s="1"/>
      <c r="H48" s="1" t="s">
        <v>79</v>
      </c>
      <c r="I48" s="1" t="s">
        <v>195</v>
      </c>
      <c r="J48" s="1" t="s">
        <v>279</v>
      </c>
      <c r="K48" s="1" t="s">
        <v>106</v>
      </c>
      <c r="L48" s="1"/>
      <c r="M48" s="13"/>
    </row>
    <row r="49" spans="1:14" s="25" customFormat="1" x14ac:dyDescent="0.35">
      <c r="A49" s="25" t="s">
        <v>312</v>
      </c>
      <c r="B49" s="89" t="s">
        <v>461</v>
      </c>
      <c r="C49" s="82">
        <v>48</v>
      </c>
      <c r="D49" s="78" t="s">
        <v>481</v>
      </c>
      <c r="E49" s="78"/>
      <c r="F49" s="71" t="s">
        <v>43</v>
      </c>
      <c r="G49" s="59"/>
      <c r="H49" s="59" t="s">
        <v>79</v>
      </c>
      <c r="I49" s="59" t="s">
        <v>153</v>
      </c>
      <c r="J49" s="59" t="s">
        <v>292</v>
      </c>
      <c r="K49" s="1" t="s">
        <v>106</v>
      </c>
      <c r="L49" s="59" t="s">
        <v>314</v>
      </c>
      <c r="M49" s="24"/>
    </row>
    <row r="50" spans="1:14" ht="29" x14ac:dyDescent="0.35">
      <c r="B50" s="89" t="s">
        <v>421</v>
      </c>
      <c r="C50" s="78">
        <v>50</v>
      </c>
      <c r="D50" s="78" t="s">
        <v>481</v>
      </c>
      <c r="E50" s="78"/>
      <c r="F50" s="57" t="s">
        <v>44</v>
      </c>
      <c r="G50" s="1"/>
      <c r="H50" s="1" t="s">
        <v>77</v>
      </c>
      <c r="I50" s="1" t="s">
        <v>154</v>
      </c>
      <c r="J50" s="1"/>
      <c r="K50" s="1" t="s">
        <v>106</v>
      </c>
      <c r="L50" s="3" t="s">
        <v>184</v>
      </c>
      <c r="M50" s="13"/>
    </row>
    <row r="51" spans="1:14" x14ac:dyDescent="0.35">
      <c r="A51" t="s">
        <v>312</v>
      </c>
      <c r="B51" s="89" t="s">
        <v>413</v>
      </c>
      <c r="C51" s="78">
        <v>51</v>
      </c>
      <c r="D51" s="78" t="s">
        <v>481</v>
      </c>
      <c r="E51" s="78"/>
      <c r="F51" s="54" t="s">
        <v>45</v>
      </c>
      <c r="G51" s="1"/>
      <c r="H51" s="1" t="s">
        <v>77</v>
      </c>
      <c r="I51" s="1" t="s">
        <v>155</v>
      </c>
      <c r="J51" s="1"/>
      <c r="K51" s="1" t="s">
        <v>106</v>
      </c>
      <c r="L51" s="1" t="s">
        <v>185</v>
      </c>
      <c r="M51" s="13"/>
    </row>
    <row r="52" spans="1:14" s="8" customFormat="1" ht="43.5" x14ac:dyDescent="0.35">
      <c r="A52" s="8" t="s">
        <v>312</v>
      </c>
      <c r="B52" s="90" t="s">
        <v>463</v>
      </c>
      <c r="C52" s="78">
        <v>52</v>
      </c>
      <c r="D52" s="78" t="s">
        <v>481</v>
      </c>
      <c r="E52" s="78" t="s">
        <v>479</v>
      </c>
      <c r="F52" s="45" t="s">
        <v>46</v>
      </c>
      <c r="G52" s="7"/>
      <c r="H52" s="7" t="s">
        <v>79</v>
      </c>
      <c r="I52" s="17" t="s">
        <v>188</v>
      </c>
      <c r="J52" s="17" t="s">
        <v>280</v>
      </c>
      <c r="K52" s="1" t="s">
        <v>106</v>
      </c>
      <c r="L52" s="7" t="s">
        <v>313</v>
      </c>
      <c r="M52" s="16"/>
    </row>
    <row r="53" spans="1:14" ht="130.5" x14ac:dyDescent="0.35">
      <c r="A53" t="s">
        <v>312</v>
      </c>
      <c r="B53" s="89" t="s">
        <v>464</v>
      </c>
      <c r="C53" s="78">
        <v>53</v>
      </c>
      <c r="D53" s="78" t="s">
        <v>481</v>
      </c>
      <c r="E53" s="78" t="s">
        <v>479</v>
      </c>
      <c r="F53" s="47" t="s">
        <v>202</v>
      </c>
      <c r="G53" s="1"/>
      <c r="H53" s="1" t="s">
        <v>77</v>
      </c>
      <c r="I53" s="3" t="s">
        <v>298</v>
      </c>
      <c r="J53" s="3"/>
      <c r="K53" s="1" t="s">
        <v>293</v>
      </c>
      <c r="L53" s="3" t="s">
        <v>208</v>
      </c>
      <c r="M53" s="14" t="s">
        <v>344</v>
      </c>
      <c r="N53" s="73" t="s">
        <v>336</v>
      </c>
    </row>
    <row r="54" spans="1:14" ht="116" x14ac:dyDescent="0.35">
      <c r="A54" t="s">
        <v>312</v>
      </c>
      <c r="B54" s="89" t="s">
        <v>493</v>
      </c>
      <c r="C54" s="78">
        <v>54</v>
      </c>
      <c r="D54" s="78" t="s">
        <v>481</v>
      </c>
      <c r="E54" s="78" t="s">
        <v>479</v>
      </c>
      <c r="F54" s="47" t="s">
        <v>201</v>
      </c>
      <c r="G54" s="1"/>
      <c r="H54" s="1" t="s">
        <v>77</v>
      </c>
      <c r="I54" s="3" t="s">
        <v>298</v>
      </c>
      <c r="J54" s="72" t="s">
        <v>335</v>
      </c>
      <c r="K54" s="1" t="s">
        <v>293</v>
      </c>
      <c r="L54" s="3" t="s">
        <v>207</v>
      </c>
      <c r="M54" s="14" t="s">
        <v>338</v>
      </c>
      <c r="N54" s="73" t="s">
        <v>337</v>
      </c>
    </row>
    <row r="55" spans="1:14" ht="145" x14ac:dyDescent="0.35">
      <c r="A55" t="s">
        <v>312</v>
      </c>
      <c r="B55" s="89" t="s">
        <v>465</v>
      </c>
      <c r="C55" s="78">
        <v>55</v>
      </c>
      <c r="D55" s="78" t="s">
        <v>485</v>
      </c>
      <c r="E55" s="78" t="s">
        <v>479</v>
      </c>
      <c r="F55" s="47" t="s">
        <v>200</v>
      </c>
      <c r="G55" s="1"/>
      <c r="H55" s="1" t="s">
        <v>77</v>
      </c>
      <c r="I55" s="3" t="s">
        <v>298</v>
      </c>
      <c r="J55" s="3"/>
      <c r="K55" s="1" t="s">
        <v>293</v>
      </c>
      <c r="L55" s="3" t="s">
        <v>204</v>
      </c>
      <c r="M55" s="14" t="s">
        <v>213</v>
      </c>
    </row>
    <row r="56" spans="1:14" ht="87" x14ac:dyDescent="0.35">
      <c r="A56" t="s">
        <v>312</v>
      </c>
      <c r="B56" s="89" t="s">
        <v>494</v>
      </c>
      <c r="C56" s="78">
        <v>56</v>
      </c>
      <c r="D56" s="78" t="s">
        <v>485</v>
      </c>
      <c r="E56" s="78" t="s">
        <v>479</v>
      </c>
      <c r="F56" s="47" t="s">
        <v>199</v>
      </c>
      <c r="G56" s="1"/>
      <c r="H56" s="1" t="s">
        <v>77</v>
      </c>
      <c r="I56" s="3" t="s">
        <v>298</v>
      </c>
      <c r="J56" s="3"/>
      <c r="K56" s="1" t="s">
        <v>293</v>
      </c>
      <c r="L56" s="3" t="s">
        <v>205</v>
      </c>
      <c r="M56" s="14" t="s">
        <v>214</v>
      </c>
    </row>
    <row r="57" spans="1:14" ht="87" x14ac:dyDescent="0.35">
      <c r="A57" t="s">
        <v>312</v>
      </c>
      <c r="B57" s="89" t="s">
        <v>495</v>
      </c>
      <c r="C57" s="78">
        <v>57</v>
      </c>
      <c r="D57" s="78" t="s">
        <v>485</v>
      </c>
      <c r="E57" s="78" t="s">
        <v>479</v>
      </c>
      <c r="F57" s="47" t="s">
        <v>198</v>
      </c>
      <c r="G57" s="1"/>
      <c r="H57" s="1" t="s">
        <v>77</v>
      </c>
      <c r="I57" s="3" t="s">
        <v>298</v>
      </c>
      <c r="J57" s="3"/>
      <c r="K57" s="1" t="s">
        <v>293</v>
      </c>
      <c r="L57" s="3" t="s">
        <v>206</v>
      </c>
      <c r="M57" s="14" t="s">
        <v>215</v>
      </c>
    </row>
    <row r="58" spans="1:14" ht="58" x14ac:dyDescent="0.35">
      <c r="A58" t="s">
        <v>312</v>
      </c>
      <c r="B58" s="89" t="s">
        <v>496</v>
      </c>
      <c r="C58" s="78">
        <v>58</v>
      </c>
      <c r="D58" s="78" t="s">
        <v>485</v>
      </c>
      <c r="E58" s="78" t="s">
        <v>479</v>
      </c>
      <c r="F58" s="47" t="s">
        <v>47</v>
      </c>
      <c r="G58" s="1"/>
      <c r="H58" s="1" t="s">
        <v>77</v>
      </c>
      <c r="I58" s="3" t="s">
        <v>298</v>
      </c>
      <c r="J58" s="3"/>
      <c r="K58" s="1" t="s">
        <v>293</v>
      </c>
      <c r="L58" s="3" t="s">
        <v>203</v>
      </c>
      <c r="M58" s="14" t="s">
        <v>216</v>
      </c>
    </row>
    <row r="59" spans="1:14" ht="58" x14ac:dyDescent="0.35">
      <c r="A59" t="s">
        <v>312</v>
      </c>
      <c r="B59" s="89" t="s">
        <v>486</v>
      </c>
      <c r="C59" s="78">
        <v>59</v>
      </c>
      <c r="D59" s="78" t="s">
        <v>485</v>
      </c>
      <c r="E59" s="78" t="s">
        <v>479</v>
      </c>
      <c r="F59" s="47" t="s">
        <v>48</v>
      </c>
      <c r="G59" s="1"/>
      <c r="H59" s="1" t="s">
        <v>77</v>
      </c>
      <c r="I59" s="3" t="s">
        <v>298</v>
      </c>
      <c r="J59" s="3"/>
      <c r="K59" s="1" t="s">
        <v>293</v>
      </c>
      <c r="L59" s="3" t="s">
        <v>159</v>
      </c>
      <c r="M59" s="14" t="s">
        <v>217</v>
      </c>
    </row>
    <row r="60" spans="1:14" ht="159.5" x14ac:dyDescent="0.35">
      <c r="A60" t="s">
        <v>312</v>
      </c>
      <c r="B60" s="89" t="s">
        <v>488</v>
      </c>
      <c r="C60" s="78">
        <v>60</v>
      </c>
      <c r="D60" s="78" t="s">
        <v>485</v>
      </c>
      <c r="E60" s="78" t="s">
        <v>479</v>
      </c>
      <c r="F60" s="47" t="s">
        <v>49</v>
      </c>
      <c r="G60" s="1"/>
      <c r="H60" s="1" t="s">
        <v>77</v>
      </c>
      <c r="I60" s="3" t="s">
        <v>298</v>
      </c>
      <c r="J60" s="3"/>
      <c r="K60" s="1" t="s">
        <v>293</v>
      </c>
      <c r="L60" s="3" t="s">
        <v>473</v>
      </c>
      <c r="M60" s="14"/>
    </row>
    <row r="61" spans="1:14" ht="202.5" customHeight="1" x14ac:dyDescent="0.35">
      <c r="A61" t="s">
        <v>312</v>
      </c>
      <c r="B61" s="89" t="s">
        <v>489</v>
      </c>
      <c r="C61" s="78">
        <v>61</v>
      </c>
      <c r="D61" s="78" t="s">
        <v>485</v>
      </c>
      <c r="E61" s="78" t="s">
        <v>479</v>
      </c>
      <c r="F61" s="47" t="s">
        <v>194</v>
      </c>
      <c r="G61" s="1"/>
      <c r="H61" s="1" t="s">
        <v>77</v>
      </c>
      <c r="I61" s="1" t="s">
        <v>298</v>
      </c>
      <c r="J61" s="1"/>
      <c r="K61" s="1" t="s">
        <v>293</v>
      </c>
      <c r="L61" s="3" t="s">
        <v>164</v>
      </c>
      <c r="M61" s="14" t="s">
        <v>339</v>
      </c>
      <c r="N61" s="73" t="s">
        <v>337</v>
      </c>
    </row>
    <row r="62" spans="1:14" ht="198" customHeight="1" x14ac:dyDescent="0.35">
      <c r="B62" s="89" t="s">
        <v>490</v>
      </c>
      <c r="C62" s="78">
        <v>62</v>
      </c>
      <c r="D62" s="78" t="s">
        <v>480</v>
      </c>
      <c r="E62" s="78" t="s">
        <v>479</v>
      </c>
      <c r="F62" s="47" t="s">
        <v>50</v>
      </c>
      <c r="G62" s="1"/>
      <c r="H62" s="1" t="s">
        <v>77</v>
      </c>
      <c r="I62" s="1" t="s">
        <v>298</v>
      </c>
      <c r="J62" s="1"/>
      <c r="K62" s="1" t="s">
        <v>293</v>
      </c>
      <c r="L62" s="3" t="s">
        <v>165</v>
      </c>
      <c r="M62" s="13"/>
    </row>
    <row r="63" spans="1:14" ht="101.5" x14ac:dyDescent="0.35">
      <c r="A63" t="s">
        <v>312</v>
      </c>
      <c r="B63" s="89" t="s">
        <v>363</v>
      </c>
      <c r="C63" s="78">
        <v>63</v>
      </c>
      <c r="D63" s="78" t="s">
        <v>481</v>
      </c>
      <c r="E63" s="78" t="s">
        <v>491</v>
      </c>
      <c r="F63" s="58" t="s">
        <v>51</v>
      </c>
      <c r="G63" s="1"/>
      <c r="H63" s="1" t="s">
        <v>77</v>
      </c>
      <c r="I63" s="3" t="s">
        <v>298</v>
      </c>
      <c r="J63" s="3"/>
      <c r="K63" s="1" t="s">
        <v>293</v>
      </c>
      <c r="L63" s="3" t="s">
        <v>160</v>
      </c>
      <c r="M63" s="14" t="s">
        <v>246</v>
      </c>
    </row>
    <row r="64" spans="1:14" ht="72.5" x14ac:dyDescent="0.35">
      <c r="A64" t="s">
        <v>312</v>
      </c>
      <c r="B64" s="89" t="s">
        <v>487</v>
      </c>
      <c r="C64" s="78">
        <v>64</v>
      </c>
      <c r="D64" s="78" t="s">
        <v>481</v>
      </c>
      <c r="E64" s="78" t="s">
        <v>491</v>
      </c>
      <c r="F64" s="58" t="s">
        <v>52</v>
      </c>
      <c r="G64" s="1"/>
      <c r="H64" s="1" t="s">
        <v>77</v>
      </c>
      <c r="I64" s="3" t="s">
        <v>298</v>
      </c>
      <c r="J64" s="3"/>
      <c r="K64" s="1" t="s">
        <v>293</v>
      </c>
      <c r="L64" s="3" t="s">
        <v>163</v>
      </c>
      <c r="M64" s="14" t="s">
        <v>247</v>
      </c>
    </row>
    <row r="65" spans="1:13" ht="58" x14ac:dyDescent="0.35">
      <c r="A65" t="s">
        <v>312</v>
      </c>
      <c r="B65" s="89" t="s">
        <v>365</v>
      </c>
      <c r="C65" s="78">
        <v>65</v>
      </c>
      <c r="D65" s="78" t="s">
        <v>481</v>
      </c>
      <c r="E65" s="78" t="s">
        <v>491</v>
      </c>
      <c r="F65" s="58" t="s">
        <v>177</v>
      </c>
      <c r="G65" s="1"/>
      <c r="H65" s="1" t="s">
        <v>77</v>
      </c>
      <c r="I65" s="3" t="s">
        <v>298</v>
      </c>
      <c r="J65" s="3"/>
      <c r="K65" s="1" t="s">
        <v>293</v>
      </c>
      <c r="L65" s="3" t="s">
        <v>166</v>
      </c>
      <c r="M65" s="13"/>
    </row>
    <row r="66" spans="1:13" ht="58" x14ac:dyDescent="0.35">
      <c r="A66" s="60" t="s">
        <v>312</v>
      </c>
      <c r="B66" s="92" t="s">
        <v>366</v>
      </c>
      <c r="C66" s="78">
        <v>66</v>
      </c>
      <c r="D66" s="78" t="s">
        <v>481</v>
      </c>
      <c r="E66" s="78" t="s">
        <v>491</v>
      </c>
      <c r="F66" s="58" t="s">
        <v>178</v>
      </c>
      <c r="G66" s="1"/>
      <c r="H66" s="1" t="s">
        <v>77</v>
      </c>
      <c r="I66" s="3" t="s">
        <v>298</v>
      </c>
      <c r="J66" s="3"/>
      <c r="K66" s="1" t="s">
        <v>293</v>
      </c>
      <c r="L66" s="3" t="s">
        <v>162</v>
      </c>
      <c r="M66" s="14" t="s">
        <v>327</v>
      </c>
    </row>
    <row r="67" spans="1:13" ht="58" x14ac:dyDescent="0.35">
      <c r="A67" t="s">
        <v>312</v>
      </c>
      <c r="B67" s="89" t="s">
        <v>367</v>
      </c>
      <c r="C67" s="78">
        <v>67</v>
      </c>
      <c r="D67" s="78" t="s">
        <v>481</v>
      </c>
      <c r="E67" s="78" t="s">
        <v>491</v>
      </c>
      <c r="F67" s="58" t="s">
        <v>53</v>
      </c>
      <c r="G67" s="1"/>
      <c r="H67" s="1" t="s">
        <v>77</v>
      </c>
      <c r="I67" s="3" t="s">
        <v>298</v>
      </c>
      <c r="J67" s="3"/>
      <c r="K67" s="1" t="s">
        <v>293</v>
      </c>
      <c r="L67" s="3" t="s">
        <v>161</v>
      </c>
      <c r="M67" s="14" t="s">
        <v>218</v>
      </c>
    </row>
    <row r="68" spans="1:13" ht="72.5" x14ac:dyDescent="0.35">
      <c r="B68" s="89" t="s">
        <v>368</v>
      </c>
      <c r="C68" s="78">
        <v>68</v>
      </c>
      <c r="D68" s="78" t="s">
        <v>481</v>
      </c>
      <c r="E68" s="78" t="s">
        <v>491</v>
      </c>
      <c r="F68" s="58" t="s">
        <v>54</v>
      </c>
      <c r="G68" s="1"/>
      <c r="H68" s="1" t="s">
        <v>77</v>
      </c>
      <c r="I68" s="3" t="s">
        <v>298</v>
      </c>
      <c r="J68" s="3"/>
      <c r="K68" s="1" t="s">
        <v>293</v>
      </c>
      <c r="L68" s="3" t="s">
        <v>158</v>
      </c>
      <c r="M68" s="14" t="s">
        <v>245</v>
      </c>
    </row>
    <row r="69" spans="1:13" ht="29" x14ac:dyDescent="0.35">
      <c r="B69" s="89" t="s">
        <v>399</v>
      </c>
      <c r="C69" s="83">
        <v>69</v>
      </c>
      <c r="D69" s="78" t="s">
        <v>481</v>
      </c>
      <c r="E69" s="78" t="s">
        <v>492</v>
      </c>
      <c r="F69" s="64" t="s">
        <v>55</v>
      </c>
      <c r="G69" s="61"/>
      <c r="H69" s="61" t="s">
        <v>79</v>
      </c>
      <c r="I69" s="61" t="s">
        <v>190</v>
      </c>
      <c r="J69" s="62" t="s">
        <v>317</v>
      </c>
      <c r="K69" s="61" t="s">
        <v>106</v>
      </c>
      <c r="L69" s="63" t="s">
        <v>320</v>
      </c>
      <c r="M69" t="s">
        <v>315</v>
      </c>
    </row>
    <row r="70" spans="1:13" ht="29" x14ac:dyDescent="0.35">
      <c r="A70" t="s">
        <v>312</v>
      </c>
      <c r="B70" s="89" t="s">
        <v>385</v>
      </c>
      <c r="C70" s="83">
        <v>70</v>
      </c>
      <c r="D70" s="78" t="s">
        <v>481</v>
      </c>
      <c r="E70" s="78" t="s">
        <v>492</v>
      </c>
      <c r="F70" s="64" t="s">
        <v>56</v>
      </c>
      <c r="G70" s="61"/>
      <c r="H70" s="61" t="s">
        <v>79</v>
      </c>
      <c r="I70" s="61" t="s">
        <v>209</v>
      </c>
      <c r="J70" s="62" t="s">
        <v>318</v>
      </c>
      <c r="K70" s="61" t="s">
        <v>106</v>
      </c>
      <c r="L70" s="63" t="s">
        <v>321</v>
      </c>
      <c r="M70" t="s">
        <v>316</v>
      </c>
    </row>
    <row r="71" spans="1:13" ht="29" x14ac:dyDescent="0.35">
      <c r="A71" t="s">
        <v>312</v>
      </c>
      <c r="B71" s="89" t="s">
        <v>377</v>
      </c>
      <c r="C71" s="83">
        <v>71</v>
      </c>
      <c r="D71" s="78" t="s">
        <v>481</v>
      </c>
      <c r="E71" s="78" t="s">
        <v>492</v>
      </c>
      <c r="F71" s="64" t="s">
        <v>57</v>
      </c>
      <c r="G71" s="61"/>
      <c r="H71" s="61" t="s">
        <v>79</v>
      </c>
      <c r="I71" s="61" t="s">
        <v>191</v>
      </c>
      <c r="J71" s="62" t="s">
        <v>319</v>
      </c>
      <c r="K71" s="61" t="s">
        <v>106</v>
      </c>
      <c r="L71" s="63" t="s">
        <v>322</v>
      </c>
      <c r="M71" t="s">
        <v>323</v>
      </c>
    </row>
    <row r="72" spans="1:13" ht="87" x14ac:dyDescent="0.35">
      <c r="A72" t="s">
        <v>312</v>
      </c>
      <c r="B72" s="89" t="s">
        <v>350</v>
      </c>
      <c r="C72" s="83">
        <v>72</v>
      </c>
      <c r="D72" s="78" t="s">
        <v>481</v>
      </c>
      <c r="E72" s="78" t="s">
        <v>492</v>
      </c>
      <c r="F72" s="64" t="s">
        <v>58</v>
      </c>
      <c r="G72" s="61"/>
      <c r="H72" s="61" t="s">
        <v>79</v>
      </c>
      <c r="I72" s="62" t="s">
        <v>284</v>
      </c>
      <c r="J72" s="62" t="s">
        <v>281</v>
      </c>
      <c r="K72" s="61" t="s">
        <v>106</v>
      </c>
      <c r="L72" s="63" t="s">
        <v>326</v>
      </c>
      <c r="M72" t="s">
        <v>324</v>
      </c>
    </row>
    <row r="73" spans="1:13" ht="87" x14ac:dyDescent="0.35">
      <c r="A73" t="s">
        <v>312</v>
      </c>
      <c r="B73" s="89" t="s">
        <v>466</v>
      </c>
      <c r="C73" s="83">
        <v>73</v>
      </c>
      <c r="D73" s="78" t="s">
        <v>481</v>
      </c>
      <c r="E73" s="78" t="s">
        <v>492</v>
      </c>
      <c r="F73" s="64" t="s">
        <v>59</v>
      </c>
      <c r="G73" s="61"/>
      <c r="H73" s="61" t="s">
        <v>79</v>
      </c>
      <c r="I73" s="62" t="s">
        <v>231</v>
      </c>
      <c r="J73" s="62" t="s">
        <v>283</v>
      </c>
      <c r="K73" s="61" t="s">
        <v>106</v>
      </c>
      <c r="L73" s="62" t="s">
        <v>282</v>
      </c>
      <c r="M73" t="s">
        <v>325</v>
      </c>
    </row>
    <row r="74" spans="1:13" ht="116" x14ac:dyDescent="0.35">
      <c r="A74" t="s">
        <v>312</v>
      </c>
      <c r="B74" s="89" t="s">
        <v>497</v>
      </c>
      <c r="C74" s="83">
        <v>75</v>
      </c>
      <c r="D74" s="78" t="s">
        <v>481</v>
      </c>
      <c r="E74" s="78" t="s">
        <v>492</v>
      </c>
      <c r="F74" s="64" t="s">
        <v>60</v>
      </c>
      <c r="G74" s="61"/>
      <c r="H74" s="61" t="s">
        <v>79</v>
      </c>
      <c r="I74" s="61" t="s">
        <v>192</v>
      </c>
      <c r="J74" s="62" t="s">
        <v>302</v>
      </c>
      <c r="K74" s="61" t="s">
        <v>106</v>
      </c>
      <c r="L74" s="63" t="s">
        <v>291</v>
      </c>
      <c r="M74"/>
    </row>
    <row r="75" spans="1:13" ht="116" x14ac:dyDescent="0.35">
      <c r="A75" t="s">
        <v>312</v>
      </c>
      <c r="B75" s="89" t="s">
        <v>384</v>
      </c>
      <c r="C75" s="83">
        <v>76</v>
      </c>
      <c r="D75" s="78" t="s">
        <v>481</v>
      </c>
      <c r="E75" s="78" t="s">
        <v>492</v>
      </c>
      <c r="F75" s="64" t="s">
        <v>61</v>
      </c>
      <c r="G75" s="61"/>
      <c r="H75" s="61" t="s">
        <v>79</v>
      </c>
      <c r="I75" s="61" t="s">
        <v>210</v>
      </c>
      <c r="J75" s="62" t="s">
        <v>301</v>
      </c>
      <c r="K75" s="61" t="s">
        <v>106</v>
      </c>
      <c r="L75" s="63" t="s">
        <v>291</v>
      </c>
      <c r="M75" s="13"/>
    </row>
    <row r="76" spans="1:13" ht="116" x14ac:dyDescent="0.35">
      <c r="A76" t="s">
        <v>312</v>
      </c>
      <c r="B76" s="89" t="s">
        <v>376</v>
      </c>
      <c r="C76" s="83">
        <v>77</v>
      </c>
      <c r="D76" s="78" t="s">
        <v>481</v>
      </c>
      <c r="E76" s="78" t="s">
        <v>492</v>
      </c>
      <c r="F76" s="64" t="s">
        <v>62</v>
      </c>
      <c r="G76" s="61"/>
      <c r="H76" s="61" t="s">
        <v>79</v>
      </c>
      <c r="I76" s="61" t="s">
        <v>193</v>
      </c>
      <c r="J76" s="62" t="s">
        <v>299</v>
      </c>
      <c r="K76" s="61" t="s">
        <v>106</v>
      </c>
      <c r="L76" s="63" t="s">
        <v>291</v>
      </c>
      <c r="M76" s="13"/>
    </row>
    <row r="77" spans="1:13" ht="29" x14ac:dyDescent="0.35">
      <c r="A77" t="s">
        <v>312</v>
      </c>
      <c r="C77" s="83">
        <v>78</v>
      </c>
      <c r="D77" s="78" t="s">
        <v>481</v>
      </c>
      <c r="E77" s="78" t="s">
        <v>492</v>
      </c>
      <c r="F77" s="64" t="s">
        <v>63</v>
      </c>
      <c r="G77" s="61"/>
      <c r="H77" s="61" t="s">
        <v>77</v>
      </c>
      <c r="I77" s="62" t="s">
        <v>298</v>
      </c>
      <c r="J77" s="62"/>
      <c r="K77" s="61" t="s">
        <v>293</v>
      </c>
      <c r="L77" s="61" t="s">
        <v>180</v>
      </c>
      <c r="M77" s="13"/>
    </row>
    <row r="78" spans="1:13" ht="14.25" customHeight="1" thickBot="1" x14ac:dyDescent="0.4">
      <c r="A78" t="s">
        <v>312</v>
      </c>
      <c r="B78" s="89" t="s">
        <v>426</v>
      </c>
      <c r="C78" s="83">
        <v>79</v>
      </c>
      <c r="D78" s="78" t="s">
        <v>481</v>
      </c>
      <c r="E78" s="78" t="s">
        <v>492</v>
      </c>
      <c r="F78" s="64" t="s">
        <v>64</v>
      </c>
      <c r="G78" s="61"/>
      <c r="H78" s="61" t="s">
        <v>77</v>
      </c>
      <c r="I78" s="62" t="s">
        <v>298</v>
      </c>
      <c r="J78" s="62"/>
      <c r="K78" s="61" t="s">
        <v>293</v>
      </c>
      <c r="L78" s="61" t="s">
        <v>181</v>
      </c>
      <c r="M78" s="13"/>
    </row>
    <row r="79" spans="1:13" s="38" customFormat="1" x14ac:dyDescent="0.35">
      <c r="A79" s="38" t="s">
        <v>312</v>
      </c>
      <c r="B79" s="95" t="s">
        <v>467</v>
      </c>
      <c r="C79" s="87">
        <v>74</v>
      </c>
      <c r="D79" s="87"/>
      <c r="E79" s="87"/>
      <c r="F79" s="33" t="s">
        <v>223</v>
      </c>
      <c r="G79" s="36"/>
      <c r="H79" s="36" t="s">
        <v>77</v>
      </c>
      <c r="I79" s="36" t="s">
        <v>223</v>
      </c>
      <c r="J79" s="36"/>
      <c r="K79" s="36" t="s">
        <v>106</v>
      </c>
      <c r="L79" s="36"/>
      <c r="M79" s="37"/>
    </row>
    <row r="80" spans="1:13" s="8" customFormat="1" x14ac:dyDescent="0.35">
      <c r="B80" s="90" t="s">
        <v>420</v>
      </c>
      <c r="C80" s="78">
        <v>80</v>
      </c>
      <c r="D80" s="78" t="s">
        <v>481</v>
      </c>
      <c r="E80" s="78" t="s">
        <v>498</v>
      </c>
      <c r="F80" s="50" t="s">
        <v>84</v>
      </c>
      <c r="G80" s="7"/>
      <c r="H80" s="7" t="s">
        <v>77</v>
      </c>
      <c r="I80" s="5" t="s">
        <v>84</v>
      </c>
      <c r="J80" s="5"/>
      <c r="K80" s="1" t="s">
        <v>106</v>
      </c>
      <c r="L80" s="7"/>
      <c r="M80" s="16"/>
    </row>
    <row r="81" spans="1:13" s="10" customFormat="1" x14ac:dyDescent="0.35">
      <c r="A81" s="10" t="s">
        <v>312</v>
      </c>
      <c r="B81" s="90" t="s">
        <v>435</v>
      </c>
      <c r="C81" s="84">
        <v>81</v>
      </c>
      <c r="D81" s="84" t="s">
        <v>481</v>
      </c>
      <c r="E81" s="78" t="s">
        <v>498</v>
      </c>
      <c r="F81" s="50" t="s">
        <v>85</v>
      </c>
      <c r="G81" s="9"/>
      <c r="H81" s="9" t="s">
        <v>77</v>
      </c>
      <c r="I81" s="28" t="s">
        <v>85</v>
      </c>
      <c r="J81" s="28"/>
      <c r="K81" s="9" t="s">
        <v>106</v>
      </c>
      <c r="L81" s="9" t="s">
        <v>328</v>
      </c>
      <c r="M81" s="21"/>
    </row>
    <row r="82" spans="1:13" s="10" customFormat="1" x14ac:dyDescent="0.35">
      <c r="A82" s="10" t="s">
        <v>312</v>
      </c>
      <c r="B82" s="90" t="s">
        <v>436</v>
      </c>
      <c r="C82" s="84">
        <v>82</v>
      </c>
      <c r="D82" s="84" t="s">
        <v>481</v>
      </c>
      <c r="E82" s="78" t="s">
        <v>498</v>
      </c>
      <c r="F82" s="44" t="s">
        <v>86</v>
      </c>
      <c r="G82" s="9"/>
      <c r="H82" s="9" t="s">
        <v>77</v>
      </c>
      <c r="I82" s="20" t="s">
        <v>86</v>
      </c>
      <c r="J82" s="20"/>
      <c r="K82" s="9" t="s">
        <v>106</v>
      </c>
      <c r="L82" s="9" t="s">
        <v>328</v>
      </c>
      <c r="M82" s="21"/>
    </row>
    <row r="83" spans="1:13" s="8" customFormat="1" ht="72.5" x14ac:dyDescent="0.35">
      <c r="A83" s="8" t="s">
        <v>312</v>
      </c>
      <c r="B83" s="90" t="s">
        <v>437</v>
      </c>
      <c r="C83" s="78">
        <v>83</v>
      </c>
      <c r="D83" s="78" t="s">
        <v>481</v>
      </c>
      <c r="E83" s="78" t="s">
        <v>498</v>
      </c>
      <c r="F83" s="47" t="s">
        <v>87</v>
      </c>
      <c r="G83" s="7"/>
      <c r="H83" s="7" t="s">
        <v>77</v>
      </c>
      <c r="I83" s="3" t="s">
        <v>298</v>
      </c>
      <c r="J83" s="3"/>
      <c r="K83" s="1" t="s">
        <v>293</v>
      </c>
      <c r="L83" s="17" t="s">
        <v>329</v>
      </c>
      <c r="M83" s="16"/>
    </row>
    <row r="84" spans="1:13" x14ac:dyDescent="0.35">
      <c r="A84" t="s">
        <v>312</v>
      </c>
      <c r="C84" s="78">
        <v>84</v>
      </c>
      <c r="D84" s="78" t="s">
        <v>481</v>
      </c>
      <c r="E84" s="78" t="s">
        <v>498</v>
      </c>
      <c r="F84" s="50" t="s">
        <v>88</v>
      </c>
      <c r="G84" s="1"/>
      <c r="H84" s="1" t="s">
        <v>79</v>
      </c>
      <c r="I84" s="1" t="s">
        <v>251</v>
      </c>
      <c r="J84" t="s">
        <v>261</v>
      </c>
      <c r="K84" s="1" t="s">
        <v>106</v>
      </c>
      <c r="L84" s="1" t="s">
        <v>328</v>
      </c>
      <c r="M84" s="13"/>
    </row>
    <row r="85" spans="1:13" ht="72.5" x14ac:dyDescent="0.35">
      <c r="A85" t="s">
        <v>312</v>
      </c>
      <c r="C85" s="78">
        <v>85</v>
      </c>
      <c r="D85" s="78" t="s">
        <v>481</v>
      </c>
      <c r="E85" s="78" t="s">
        <v>498</v>
      </c>
      <c r="F85" s="47" t="s">
        <v>89</v>
      </c>
      <c r="G85" s="1"/>
      <c r="H85" s="1" t="s">
        <v>77</v>
      </c>
      <c r="I85" s="3" t="s">
        <v>298</v>
      </c>
      <c r="J85" s="3"/>
      <c r="K85" s="1" t="s">
        <v>293</v>
      </c>
      <c r="L85" s="3" t="s">
        <v>330</v>
      </c>
      <c r="M85" s="13"/>
    </row>
    <row r="86" spans="1:13" ht="29" x14ac:dyDescent="0.35">
      <c r="A86" t="s">
        <v>312</v>
      </c>
      <c r="C86" s="78">
        <v>86</v>
      </c>
      <c r="D86" s="78" t="s">
        <v>485</v>
      </c>
      <c r="E86" s="78" t="s">
        <v>498</v>
      </c>
      <c r="F86" s="50" t="s">
        <v>212</v>
      </c>
      <c r="G86" s="1"/>
      <c r="H86" s="1" t="s">
        <v>79</v>
      </c>
      <c r="I86" s="3" t="s">
        <v>298</v>
      </c>
      <c r="J86" s="1" t="s">
        <v>180</v>
      </c>
      <c r="K86" s="1" t="s">
        <v>293</v>
      </c>
      <c r="L86" s="3" t="s">
        <v>331</v>
      </c>
      <c r="M86" s="13"/>
    </row>
    <row r="87" spans="1:13" s="42" customFormat="1" x14ac:dyDescent="0.35">
      <c r="B87" s="91"/>
      <c r="C87" s="85">
        <v>87</v>
      </c>
      <c r="D87" s="85"/>
      <c r="E87" s="85"/>
      <c r="F87" s="57" t="s">
        <v>90</v>
      </c>
      <c r="G87" s="68"/>
      <c r="H87" s="68" t="s">
        <v>77</v>
      </c>
      <c r="I87" s="69" t="s">
        <v>90</v>
      </c>
      <c r="J87" s="69"/>
      <c r="K87" s="68" t="s">
        <v>186</v>
      </c>
      <c r="L87" s="70"/>
      <c r="M87" s="41"/>
    </row>
    <row r="88" spans="1:13" ht="188.5" x14ac:dyDescent="0.35">
      <c r="A88" t="s">
        <v>312</v>
      </c>
      <c r="C88" s="78">
        <v>88</v>
      </c>
      <c r="D88" s="78"/>
      <c r="E88" s="78" t="s">
        <v>499</v>
      </c>
      <c r="F88" s="47" t="s">
        <v>91</v>
      </c>
      <c r="G88" s="1"/>
      <c r="H88" s="1" t="s">
        <v>79</v>
      </c>
      <c r="I88" s="1" t="s">
        <v>226</v>
      </c>
      <c r="J88" s="3" t="s">
        <v>296</v>
      </c>
      <c r="K88" s="1" t="s">
        <v>106</v>
      </c>
      <c r="L88" s="3" t="s">
        <v>296</v>
      </c>
      <c r="M88" s="13"/>
    </row>
    <row r="89" spans="1:13" ht="58" x14ac:dyDescent="0.35">
      <c r="A89" s="74" t="s">
        <v>312</v>
      </c>
      <c r="B89" s="93"/>
      <c r="C89" s="78">
        <v>89</v>
      </c>
      <c r="D89" s="78"/>
      <c r="E89" s="78" t="s">
        <v>499</v>
      </c>
      <c r="F89" s="50" t="s">
        <v>92</v>
      </c>
      <c r="G89" s="1"/>
      <c r="H89" s="1" t="s">
        <v>77</v>
      </c>
      <c r="I89" s="3" t="s">
        <v>298</v>
      </c>
      <c r="J89" s="1"/>
      <c r="K89" s="1" t="s">
        <v>293</v>
      </c>
      <c r="L89" s="3" t="s">
        <v>332</v>
      </c>
      <c r="M89" s="13"/>
    </row>
    <row r="90" spans="1:13" ht="58" x14ac:dyDescent="0.35">
      <c r="A90" t="s">
        <v>312</v>
      </c>
      <c r="C90" s="78">
        <v>90</v>
      </c>
      <c r="D90" s="78"/>
      <c r="E90" s="78" t="s">
        <v>499</v>
      </c>
      <c r="F90" s="50" t="s">
        <v>93</v>
      </c>
      <c r="G90" s="1"/>
      <c r="H90" s="1" t="s">
        <v>79</v>
      </c>
      <c r="I90" s="1" t="s">
        <v>182</v>
      </c>
      <c r="J90" s="3" t="s">
        <v>286</v>
      </c>
      <c r="K90" s="1" t="s">
        <v>106</v>
      </c>
      <c r="L90" s="3" t="s">
        <v>286</v>
      </c>
      <c r="M90" s="13"/>
    </row>
    <row r="91" spans="1:13" x14ac:dyDescent="0.35">
      <c r="A91" t="s">
        <v>312</v>
      </c>
      <c r="C91" s="78">
        <v>91</v>
      </c>
      <c r="D91" s="78"/>
      <c r="E91" s="78" t="s">
        <v>499</v>
      </c>
      <c r="F91" s="50" t="s">
        <v>94</v>
      </c>
      <c r="G91" s="1"/>
      <c r="H91" s="1" t="s">
        <v>77</v>
      </c>
      <c r="I91" s="1" t="s">
        <v>94</v>
      </c>
      <c r="J91" s="1"/>
      <c r="K91" s="1" t="s">
        <v>106</v>
      </c>
      <c r="L91" s="1"/>
      <c r="M91" s="13"/>
    </row>
    <row r="92" spans="1:13" ht="15" thickBot="1" x14ac:dyDescent="0.4">
      <c r="A92" t="s">
        <v>312</v>
      </c>
      <c r="B92" s="94"/>
      <c r="C92" s="78">
        <v>92</v>
      </c>
      <c r="D92" s="78"/>
      <c r="E92" s="78" t="s">
        <v>499</v>
      </c>
      <c r="F92" s="50" t="s">
        <v>95</v>
      </c>
      <c r="G92" s="1"/>
      <c r="H92" s="1" t="s">
        <v>77</v>
      </c>
      <c r="I92" s="1" t="s">
        <v>183</v>
      </c>
      <c r="J92" s="1"/>
      <c r="K92" s="1" t="s">
        <v>106</v>
      </c>
      <c r="L92" s="1" t="s">
        <v>232</v>
      </c>
      <c r="M92" s="13"/>
    </row>
    <row r="93" spans="1:13" s="42" customFormat="1" ht="15" thickBot="1" x14ac:dyDescent="0.4">
      <c r="C93" s="39">
        <v>93</v>
      </c>
      <c r="D93" s="39"/>
      <c r="E93" s="39"/>
      <c r="F93" s="40" t="s">
        <v>96</v>
      </c>
      <c r="G93" s="39"/>
      <c r="H93" s="39" t="s">
        <v>211</v>
      </c>
      <c r="I93" s="39" t="s">
        <v>224</v>
      </c>
      <c r="J93" s="39"/>
      <c r="K93" s="39" t="s">
        <v>186</v>
      </c>
      <c r="L93" s="39"/>
      <c r="M93" s="41"/>
    </row>
    <row r="94" spans="1:13" x14ac:dyDescent="0.35">
      <c r="A94" t="s">
        <v>312</v>
      </c>
      <c r="B94" s="88"/>
      <c r="C94" s="78">
        <v>94</v>
      </c>
      <c r="D94" s="78"/>
      <c r="E94" s="78" t="s">
        <v>500</v>
      </c>
      <c r="F94" s="65" t="s">
        <v>97</v>
      </c>
      <c r="G94" s="1"/>
      <c r="H94" s="1" t="s">
        <v>77</v>
      </c>
      <c r="I94" s="19" t="s">
        <v>97</v>
      </c>
      <c r="J94" s="19"/>
      <c r="K94" s="1" t="s">
        <v>106</v>
      </c>
      <c r="L94" s="1"/>
      <c r="M94" s="13"/>
    </row>
    <row r="95" spans="1:13" ht="116" x14ac:dyDescent="0.35">
      <c r="A95" s="67"/>
      <c r="C95" s="85">
        <v>95</v>
      </c>
      <c r="D95" s="85"/>
      <c r="E95" s="85"/>
      <c r="F95" s="57" t="s">
        <v>98</v>
      </c>
      <c r="G95" s="68"/>
      <c r="H95" s="68" t="s">
        <v>79</v>
      </c>
      <c r="I95" s="69" t="s">
        <v>284</v>
      </c>
      <c r="J95" s="69" t="s">
        <v>300</v>
      </c>
      <c r="K95" s="68" t="s">
        <v>186</v>
      </c>
      <c r="L95" s="70" t="s">
        <v>291</v>
      </c>
      <c r="M95" s="13"/>
    </row>
    <row r="96" spans="1:13" ht="174" x14ac:dyDescent="0.35">
      <c r="A96" t="s">
        <v>312</v>
      </c>
      <c r="C96" s="78">
        <v>96</v>
      </c>
      <c r="D96" s="78"/>
      <c r="E96" s="78" t="s">
        <v>500</v>
      </c>
      <c r="F96" s="47" t="s">
        <v>99</v>
      </c>
      <c r="G96" s="1" t="s">
        <v>333</v>
      </c>
      <c r="H96" s="1" t="s">
        <v>79</v>
      </c>
      <c r="I96" s="1" t="s">
        <v>225</v>
      </c>
      <c r="J96" s="3" t="s">
        <v>297</v>
      </c>
      <c r="K96" s="1" t="s">
        <v>106</v>
      </c>
      <c r="L96" s="3" t="s">
        <v>297</v>
      </c>
      <c r="M96" s="13"/>
    </row>
    <row r="97" spans="1:13" s="31" customFormat="1" x14ac:dyDescent="0.35">
      <c r="A97" s="31" t="s">
        <v>312</v>
      </c>
      <c r="B97" s="89"/>
      <c r="C97" s="84">
        <v>97</v>
      </c>
      <c r="D97" s="84"/>
      <c r="E97" s="78" t="s">
        <v>500</v>
      </c>
      <c r="F97" s="65" t="s">
        <v>100</v>
      </c>
      <c r="G97" s="27"/>
      <c r="H97" s="27" t="s">
        <v>77</v>
      </c>
      <c r="I97" s="29" t="s">
        <v>100</v>
      </c>
      <c r="J97" s="29"/>
      <c r="K97" s="27" t="s">
        <v>106</v>
      </c>
      <c r="L97" s="27"/>
      <c r="M97" s="30"/>
    </row>
    <row r="98" spans="1:13" ht="58.5" thickBot="1" x14ac:dyDescent="0.4">
      <c r="A98" t="s">
        <v>312</v>
      </c>
      <c r="B98" s="94"/>
      <c r="C98" s="78">
        <v>98</v>
      </c>
      <c r="D98" s="78"/>
      <c r="E98" s="78" t="s">
        <v>500</v>
      </c>
      <c r="F98" s="43" t="s">
        <v>101</v>
      </c>
      <c r="G98" s="1"/>
      <c r="H98" s="1" t="s">
        <v>79</v>
      </c>
      <c r="I98" s="1" t="s">
        <v>233</v>
      </c>
      <c r="J98" s="3" t="s">
        <v>287</v>
      </c>
      <c r="K98" s="1" t="s">
        <v>106</v>
      </c>
      <c r="L98" s="3" t="s">
        <v>285</v>
      </c>
      <c r="M98" s="13"/>
    </row>
    <row r="99" spans="1:13" ht="15" thickBot="1" x14ac:dyDescent="0.4">
      <c r="B99"/>
      <c r="C99" s="4">
        <v>99</v>
      </c>
      <c r="D99" s="4"/>
      <c r="E99" s="78" t="s">
        <v>500</v>
      </c>
      <c r="F99" s="4" t="s">
        <v>102</v>
      </c>
      <c r="G99" s="4"/>
      <c r="H99" s="4" t="s">
        <v>211</v>
      </c>
      <c r="I99" s="4" t="s">
        <v>227</v>
      </c>
      <c r="J99" s="4"/>
      <c r="K99" s="4" t="s">
        <v>186</v>
      </c>
      <c r="L99" s="4"/>
      <c r="M99" s="4"/>
    </row>
    <row r="100" spans="1:13" ht="58" x14ac:dyDescent="0.35">
      <c r="A100" t="s">
        <v>312</v>
      </c>
      <c r="B100" s="88"/>
      <c r="C100" s="78">
        <v>100</v>
      </c>
      <c r="D100" s="78"/>
      <c r="E100" s="78" t="s">
        <v>501</v>
      </c>
      <c r="F100" s="66" t="s">
        <v>103</v>
      </c>
      <c r="G100" s="1"/>
      <c r="H100" s="1" t="s">
        <v>77</v>
      </c>
      <c r="I100" s="3" t="s">
        <v>298</v>
      </c>
      <c r="J100" s="3"/>
      <c r="K100" s="1" t="s">
        <v>293</v>
      </c>
      <c r="L100" s="3" t="s">
        <v>169</v>
      </c>
      <c r="M100" s="14" t="s">
        <v>219</v>
      </c>
    </row>
    <row r="101" spans="1:13" ht="58" x14ac:dyDescent="0.35">
      <c r="A101" t="s">
        <v>312</v>
      </c>
      <c r="C101" s="78">
        <v>101</v>
      </c>
      <c r="D101" s="78"/>
      <c r="E101" s="78" t="s">
        <v>501</v>
      </c>
      <c r="F101" s="66" t="s">
        <v>104</v>
      </c>
      <c r="G101" s="1"/>
      <c r="H101" s="1" t="s">
        <v>77</v>
      </c>
      <c r="I101" s="3" t="s">
        <v>298</v>
      </c>
      <c r="J101" s="3"/>
      <c r="K101" s="1" t="s">
        <v>293</v>
      </c>
      <c r="L101" s="3" t="s">
        <v>168</v>
      </c>
      <c r="M101" s="14" t="s">
        <v>220</v>
      </c>
    </row>
    <row r="102" spans="1:13" ht="87" x14ac:dyDescent="0.35">
      <c r="A102" t="s">
        <v>312</v>
      </c>
      <c r="C102" s="78">
        <v>102</v>
      </c>
      <c r="D102" s="78"/>
      <c r="E102" s="78" t="s">
        <v>501</v>
      </c>
      <c r="F102" s="47" t="s">
        <v>65</v>
      </c>
      <c r="G102" s="75" t="s">
        <v>345</v>
      </c>
      <c r="H102" s="1" t="s">
        <v>77</v>
      </c>
      <c r="I102" s="3" t="s">
        <v>298</v>
      </c>
      <c r="J102" t="s">
        <v>334</v>
      </c>
      <c r="K102" s="1" t="s">
        <v>293</v>
      </c>
      <c r="L102" s="3" t="s">
        <v>167</v>
      </c>
      <c r="M102" s="14" t="s">
        <v>249</v>
      </c>
    </row>
    <row r="103" spans="1:13" s="35" customFormat="1" x14ac:dyDescent="0.35">
      <c r="B103" s="89"/>
      <c r="C103" s="86">
        <v>49</v>
      </c>
      <c r="D103" s="86"/>
      <c r="E103" s="86"/>
      <c r="F103" s="33" t="s">
        <v>66</v>
      </c>
      <c r="G103" s="32"/>
      <c r="H103" s="32" t="s">
        <v>79</v>
      </c>
      <c r="I103" s="32" t="s">
        <v>303</v>
      </c>
      <c r="J103" s="32" t="s">
        <v>303</v>
      </c>
      <c r="K103" s="32" t="s">
        <v>106</v>
      </c>
      <c r="L103" s="32"/>
      <c r="M103" s="34"/>
    </row>
    <row r="104" spans="1:13" ht="72.5" x14ac:dyDescent="0.35">
      <c r="A104" t="s">
        <v>312</v>
      </c>
      <c r="B104" s="89" t="s">
        <v>453</v>
      </c>
      <c r="C104" s="78">
        <v>103</v>
      </c>
      <c r="D104" s="78"/>
      <c r="E104" s="78" t="s">
        <v>501</v>
      </c>
      <c r="F104" s="18" t="s">
        <v>67</v>
      </c>
      <c r="G104" s="1"/>
      <c r="H104" s="1" t="s">
        <v>77</v>
      </c>
      <c r="I104" s="3" t="s">
        <v>298</v>
      </c>
      <c r="J104" s="3"/>
      <c r="K104" s="1" t="s">
        <v>293</v>
      </c>
      <c r="L104" s="3" t="s">
        <v>170</v>
      </c>
      <c r="M104" s="14" t="s">
        <v>341</v>
      </c>
    </row>
    <row r="105" spans="1:13" ht="58" x14ac:dyDescent="0.35">
      <c r="A105" t="s">
        <v>312</v>
      </c>
      <c r="C105" s="78">
        <v>104</v>
      </c>
      <c r="D105" s="78"/>
      <c r="E105" s="78" t="s">
        <v>501</v>
      </c>
      <c r="F105" s="18" t="s">
        <v>230</v>
      </c>
      <c r="G105" s="1"/>
      <c r="H105" s="1" t="s">
        <v>77</v>
      </c>
      <c r="I105" s="3" t="s">
        <v>298</v>
      </c>
      <c r="J105" s="3"/>
      <c r="K105" s="1" t="s">
        <v>293</v>
      </c>
      <c r="L105" s="3" t="s">
        <v>171</v>
      </c>
      <c r="M105" s="11" t="s">
        <v>340</v>
      </c>
    </row>
    <row r="106" spans="1:13" ht="58" x14ac:dyDescent="0.35">
      <c r="A106" t="s">
        <v>312</v>
      </c>
      <c r="C106" s="78">
        <v>105</v>
      </c>
      <c r="D106" s="78"/>
      <c r="E106" s="78" t="s">
        <v>501</v>
      </c>
      <c r="F106" s="18" t="s">
        <v>68</v>
      </c>
      <c r="G106" s="1"/>
      <c r="H106" s="1" t="s">
        <v>77</v>
      </c>
      <c r="I106" s="3" t="s">
        <v>298</v>
      </c>
      <c r="J106" s="3"/>
      <c r="K106" s="1" t="s">
        <v>293</v>
      </c>
      <c r="L106" s="3" t="s">
        <v>172</v>
      </c>
      <c r="M106" s="14" t="s">
        <v>248</v>
      </c>
    </row>
    <row r="107" spans="1:13" ht="134.15" customHeight="1" x14ac:dyDescent="0.35">
      <c r="A107" t="s">
        <v>312</v>
      </c>
      <c r="C107" s="78">
        <v>106</v>
      </c>
      <c r="D107" s="78"/>
      <c r="E107" s="78" t="s">
        <v>501</v>
      </c>
      <c r="F107" s="18" t="s">
        <v>69</v>
      </c>
      <c r="G107" s="1"/>
      <c r="H107" s="1" t="s">
        <v>77</v>
      </c>
      <c r="I107" s="3" t="s">
        <v>298</v>
      </c>
      <c r="J107" s="3"/>
      <c r="K107" s="1" t="s">
        <v>293</v>
      </c>
      <c r="L107" s="3" t="s">
        <v>173</v>
      </c>
      <c r="M107" s="14" t="s">
        <v>221</v>
      </c>
    </row>
    <row r="108" spans="1:13" ht="58" x14ac:dyDescent="0.35">
      <c r="A108" t="s">
        <v>312</v>
      </c>
      <c r="C108" s="78">
        <v>107</v>
      </c>
      <c r="D108" s="78"/>
      <c r="E108" s="78" t="s">
        <v>501</v>
      </c>
      <c r="F108" s="18" t="s">
        <v>70</v>
      </c>
      <c r="G108" s="1"/>
      <c r="H108" s="1" t="s">
        <v>77</v>
      </c>
      <c r="I108" s="3" t="s">
        <v>298</v>
      </c>
      <c r="J108" s="3"/>
      <c r="K108" s="1" t="s">
        <v>293</v>
      </c>
      <c r="L108" s="3" t="s">
        <v>174</v>
      </c>
      <c r="M108" s="14" t="s">
        <v>222</v>
      </c>
    </row>
    <row r="109" spans="1:13" ht="87" x14ac:dyDescent="0.35">
      <c r="A109" t="s">
        <v>312</v>
      </c>
      <c r="C109" s="78">
        <v>108</v>
      </c>
      <c r="D109" s="78"/>
      <c r="E109" s="78" t="s">
        <v>501</v>
      </c>
      <c r="F109" s="18" t="s">
        <v>71</v>
      </c>
      <c r="G109" s="1"/>
      <c r="H109" s="1" t="s">
        <v>77</v>
      </c>
      <c r="I109" s="3" t="s">
        <v>298</v>
      </c>
      <c r="J109" s="3"/>
      <c r="K109" s="1" t="s">
        <v>293</v>
      </c>
      <c r="L109" s="3" t="s">
        <v>175</v>
      </c>
      <c r="M109" s="14" t="s">
        <v>342</v>
      </c>
    </row>
    <row r="110" spans="1:13" ht="72.5" x14ac:dyDescent="0.35">
      <c r="A110" t="s">
        <v>312</v>
      </c>
      <c r="B110" s="89" t="s">
        <v>459</v>
      </c>
      <c r="C110" s="78">
        <v>109</v>
      </c>
      <c r="D110" s="78"/>
      <c r="E110" s="78" t="s">
        <v>501</v>
      </c>
      <c r="F110" s="18" t="s">
        <v>72</v>
      </c>
      <c r="G110" s="1"/>
      <c r="H110" s="1" t="s">
        <v>77</v>
      </c>
      <c r="I110" s="3" t="s">
        <v>298</v>
      </c>
      <c r="J110" s="3"/>
      <c r="K110" s="1" t="s">
        <v>293</v>
      </c>
      <c r="L110" s="1" t="s">
        <v>176</v>
      </c>
      <c r="M110" s="14" t="s">
        <v>343</v>
      </c>
    </row>
    <row r="111" spans="1:13" ht="73" thickBot="1" x14ac:dyDescent="0.4">
      <c r="A111" t="s">
        <v>312</v>
      </c>
      <c r="B111" s="94" t="s">
        <v>460</v>
      </c>
      <c r="C111" s="78">
        <v>110</v>
      </c>
      <c r="D111" s="78"/>
      <c r="E111" s="78" t="s">
        <v>501</v>
      </c>
      <c r="F111" s="6" t="s">
        <v>73</v>
      </c>
      <c r="G111" s="1"/>
      <c r="H111" s="1" t="s">
        <v>77</v>
      </c>
      <c r="I111" s="3" t="s">
        <v>298</v>
      </c>
      <c r="J111" s="3"/>
      <c r="K111" s="1" t="s">
        <v>293</v>
      </c>
      <c r="L111" s="3" t="s">
        <v>346</v>
      </c>
      <c r="M111" s="13"/>
    </row>
  </sheetData>
  <autoFilter ref="A1:N111" xr:uid="{7D53BA9F-03BE-4BD1-94DC-6CE455F3F68A}"/>
  <conditionalFormatting sqref="F6">
    <cfRule type="duplicateValues" dxfId="12" priority="14"/>
    <cfRule type="duplicateValues" dxfId="11" priority="15"/>
  </conditionalFormatting>
  <conditionalFormatting sqref="F7">
    <cfRule type="duplicateValues" dxfId="10" priority="13"/>
  </conditionalFormatting>
  <conditionalFormatting sqref="F8">
    <cfRule type="duplicateValues" dxfId="9" priority="1"/>
    <cfRule type="duplicateValues" dxfId="8" priority="2"/>
  </conditionalFormatting>
  <conditionalFormatting sqref="F13">
    <cfRule type="duplicateValues" dxfId="7" priority="12"/>
  </conditionalFormatting>
  <conditionalFormatting sqref="F13:F14">
    <cfRule type="containsText" dxfId="6" priority="9" operator="containsText" text="TBA">
      <formula>NOT(ISERROR(SEARCH("TBA",F13)))</formula>
    </cfRule>
  </conditionalFormatting>
  <conditionalFormatting sqref="F13:F15">
    <cfRule type="containsText" dxfId="5" priority="10" operator="containsText" text="N/A">
      <formula>NOT(ISERROR(SEARCH("N/A",F13)))</formula>
    </cfRule>
  </conditionalFormatting>
  <conditionalFormatting sqref="F15">
    <cfRule type="containsText" dxfId="4" priority="7" operator="containsText" text="TBA">
      <formula>NOT(ISERROR(SEARCH("TBA",F15)))</formula>
    </cfRule>
  </conditionalFormatting>
  <conditionalFormatting sqref="F61">
    <cfRule type="containsText" dxfId="3" priority="3" operator="containsText" text="HEALTHY&#10;CHECK">
      <formula>NOT(ISERROR(SEARCH("HEALTHY
CHECK",F61)))</formula>
    </cfRule>
    <cfRule type="containsText" dxfId="2" priority="4" operator="containsText" text="Minor&#10;CHECK">
      <formula>NOT(ISERROR(SEARCH("Minor
CHECK",F61)))</formula>
    </cfRule>
    <cfRule type="containsText" dxfId="1" priority="5" operator="containsText" text="Severe&#10;CHECK">
      <formula>NOT(ISERROR(SEARCH("Severe
CHECK",F61)))</formula>
    </cfRule>
    <cfRule type="containsText" dxfId="0" priority="6" operator="containsText" text="HEALTHY&#10;CHECK">
      <formula>NOT(ISERROR(SEARCH("HEALTHY
CHECK",F61)))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920E-23EE-4533-AD87-9AC7D6D3A256}">
  <dimension ref="A1:A84"/>
  <sheetViews>
    <sheetView topLeftCell="A47" workbookViewId="0">
      <selection activeCell="D1" sqref="D1:E1048576"/>
    </sheetView>
  </sheetViews>
  <sheetFormatPr defaultRowHeight="14.5" x14ac:dyDescent="0.35"/>
  <cols>
    <col min="1" max="1" width="31.36328125" bestFit="1" customWidth="1"/>
  </cols>
  <sheetData>
    <row r="1" spans="1:1" x14ac:dyDescent="0.35">
      <c r="A1" s="76" t="s">
        <v>347</v>
      </c>
    </row>
    <row r="2" spans="1:1" x14ac:dyDescent="0.35">
      <c r="A2" t="s">
        <v>348</v>
      </c>
    </row>
    <row r="3" spans="1:1" x14ac:dyDescent="0.35">
      <c r="A3" t="s">
        <v>349</v>
      </c>
    </row>
    <row r="4" spans="1:1" x14ac:dyDescent="0.35">
      <c r="A4" t="s">
        <v>350</v>
      </c>
    </row>
    <row r="5" spans="1:1" x14ac:dyDescent="0.35">
      <c r="A5" t="s">
        <v>351</v>
      </c>
    </row>
    <row r="6" spans="1:1" x14ac:dyDescent="0.35">
      <c r="A6" t="s">
        <v>352</v>
      </c>
    </row>
    <row r="7" spans="1:1" x14ac:dyDescent="0.35">
      <c r="A7" t="s">
        <v>353</v>
      </c>
    </row>
    <row r="8" spans="1:1" x14ac:dyDescent="0.35">
      <c r="A8" t="s">
        <v>354</v>
      </c>
    </row>
    <row r="9" spans="1:1" x14ac:dyDescent="0.35">
      <c r="A9" t="s">
        <v>355</v>
      </c>
    </row>
    <row r="10" spans="1:1" x14ac:dyDescent="0.35">
      <c r="A10" t="s">
        <v>356</v>
      </c>
    </row>
    <row r="11" spans="1:1" x14ac:dyDescent="0.35">
      <c r="A11" t="s">
        <v>357</v>
      </c>
    </row>
    <row r="12" spans="1:1" x14ac:dyDescent="0.35">
      <c r="A12" t="s">
        <v>358</v>
      </c>
    </row>
    <row r="13" spans="1:1" x14ac:dyDescent="0.35">
      <c r="A13" t="s">
        <v>359</v>
      </c>
    </row>
    <row r="14" spans="1:1" x14ac:dyDescent="0.35">
      <c r="A14" t="s">
        <v>360</v>
      </c>
    </row>
    <row r="15" spans="1:1" x14ac:dyDescent="0.35">
      <c r="A15" t="s">
        <v>361</v>
      </c>
    </row>
    <row r="16" spans="1:1" x14ac:dyDescent="0.35">
      <c r="A16" t="s">
        <v>362</v>
      </c>
    </row>
    <row r="17" spans="1:1" x14ac:dyDescent="0.35">
      <c r="A17" t="s">
        <v>363</v>
      </c>
    </row>
    <row r="18" spans="1:1" x14ac:dyDescent="0.35">
      <c r="A18" t="s">
        <v>364</v>
      </c>
    </row>
    <row r="19" spans="1:1" x14ac:dyDescent="0.35">
      <c r="A19" t="s">
        <v>365</v>
      </c>
    </row>
    <row r="20" spans="1:1" x14ac:dyDescent="0.35">
      <c r="A20" t="s">
        <v>366</v>
      </c>
    </row>
    <row r="21" spans="1:1" x14ac:dyDescent="0.35">
      <c r="A21" t="s">
        <v>367</v>
      </c>
    </row>
    <row r="22" spans="1:1" x14ac:dyDescent="0.35">
      <c r="A22" t="s">
        <v>368</v>
      </c>
    </row>
    <row r="23" spans="1:1" x14ac:dyDescent="0.35">
      <c r="A23" t="s">
        <v>369</v>
      </c>
    </row>
    <row r="24" spans="1:1" x14ac:dyDescent="0.35">
      <c r="A24" t="s">
        <v>370</v>
      </c>
    </row>
    <row r="25" spans="1:1" x14ac:dyDescent="0.35">
      <c r="A25" t="s">
        <v>371</v>
      </c>
    </row>
    <row r="26" spans="1:1" x14ac:dyDescent="0.35">
      <c r="A26" t="s">
        <v>372</v>
      </c>
    </row>
    <row r="27" spans="1:1" x14ac:dyDescent="0.35">
      <c r="A27" t="s">
        <v>373</v>
      </c>
    </row>
    <row r="28" spans="1:1" x14ac:dyDescent="0.35">
      <c r="A28" t="s">
        <v>374</v>
      </c>
    </row>
    <row r="29" spans="1:1" x14ac:dyDescent="0.35">
      <c r="A29" t="s">
        <v>375</v>
      </c>
    </row>
    <row r="30" spans="1:1" x14ac:dyDescent="0.35">
      <c r="A30" t="s">
        <v>376</v>
      </c>
    </row>
    <row r="31" spans="1:1" x14ac:dyDescent="0.35">
      <c r="A31" t="s">
        <v>377</v>
      </c>
    </row>
    <row r="32" spans="1:1" x14ac:dyDescent="0.35">
      <c r="A32" t="s">
        <v>378</v>
      </c>
    </row>
    <row r="33" spans="1:1" x14ac:dyDescent="0.35">
      <c r="A33" t="s">
        <v>379</v>
      </c>
    </row>
    <row r="34" spans="1:1" x14ac:dyDescent="0.35">
      <c r="A34" t="s">
        <v>380</v>
      </c>
    </row>
    <row r="35" spans="1:1" x14ac:dyDescent="0.35">
      <c r="A35" t="s">
        <v>381</v>
      </c>
    </row>
    <row r="36" spans="1:1" x14ac:dyDescent="0.35">
      <c r="A36" t="s">
        <v>382</v>
      </c>
    </row>
    <row r="37" spans="1:1" x14ac:dyDescent="0.35">
      <c r="A37" t="s">
        <v>383</v>
      </c>
    </row>
    <row r="38" spans="1:1" x14ac:dyDescent="0.35">
      <c r="A38" t="s">
        <v>384</v>
      </c>
    </row>
    <row r="39" spans="1:1" x14ac:dyDescent="0.35">
      <c r="A39" t="s">
        <v>385</v>
      </c>
    </row>
    <row r="40" spans="1:1" x14ac:dyDescent="0.35">
      <c r="A40" t="s">
        <v>386</v>
      </c>
    </row>
    <row r="41" spans="1:1" x14ac:dyDescent="0.35">
      <c r="A41" t="s">
        <v>387</v>
      </c>
    </row>
    <row r="42" spans="1:1" x14ac:dyDescent="0.35">
      <c r="A42" t="s">
        <v>388</v>
      </c>
    </row>
    <row r="43" spans="1:1" x14ac:dyDescent="0.35">
      <c r="A43" t="s">
        <v>389</v>
      </c>
    </row>
    <row r="44" spans="1:1" x14ac:dyDescent="0.35">
      <c r="A44" t="s">
        <v>390</v>
      </c>
    </row>
    <row r="45" spans="1:1" x14ac:dyDescent="0.35">
      <c r="A45" t="s">
        <v>391</v>
      </c>
    </row>
    <row r="46" spans="1:1" x14ac:dyDescent="0.35">
      <c r="A46" t="s">
        <v>392</v>
      </c>
    </row>
    <row r="47" spans="1:1" x14ac:dyDescent="0.35">
      <c r="A47" t="s">
        <v>393</v>
      </c>
    </row>
    <row r="48" spans="1:1" x14ac:dyDescent="0.35">
      <c r="A48" t="s">
        <v>394</v>
      </c>
    </row>
    <row r="49" spans="1:1" x14ac:dyDescent="0.35">
      <c r="A49" t="s">
        <v>395</v>
      </c>
    </row>
    <row r="50" spans="1:1" x14ac:dyDescent="0.35">
      <c r="A50" t="s">
        <v>396</v>
      </c>
    </row>
    <row r="51" spans="1:1" x14ac:dyDescent="0.35">
      <c r="A51" t="s">
        <v>397</v>
      </c>
    </row>
    <row r="52" spans="1:1" x14ac:dyDescent="0.35">
      <c r="A52" t="s">
        <v>398</v>
      </c>
    </row>
    <row r="53" spans="1:1" x14ac:dyDescent="0.35">
      <c r="A53" t="s">
        <v>399</v>
      </c>
    </row>
    <row r="54" spans="1:1" x14ac:dyDescent="0.35">
      <c r="A54" t="s">
        <v>400</v>
      </c>
    </row>
    <row r="55" spans="1:1" x14ac:dyDescent="0.35">
      <c r="A55" t="s">
        <v>401</v>
      </c>
    </row>
    <row r="56" spans="1:1" x14ac:dyDescent="0.35">
      <c r="A56" t="s">
        <v>402</v>
      </c>
    </row>
    <row r="57" spans="1:1" x14ac:dyDescent="0.35">
      <c r="A57" t="s">
        <v>403</v>
      </c>
    </row>
    <row r="58" spans="1:1" x14ac:dyDescent="0.35">
      <c r="A58" t="s">
        <v>404</v>
      </c>
    </row>
    <row r="59" spans="1:1" x14ac:dyDescent="0.35">
      <c r="A59" t="s">
        <v>405</v>
      </c>
    </row>
    <row r="60" spans="1:1" x14ac:dyDescent="0.35">
      <c r="A60" t="s">
        <v>406</v>
      </c>
    </row>
    <row r="61" spans="1:1" x14ac:dyDescent="0.35">
      <c r="A61" t="s">
        <v>407</v>
      </c>
    </row>
    <row r="62" spans="1:1" x14ac:dyDescent="0.35">
      <c r="A62" t="s">
        <v>408</v>
      </c>
    </row>
    <row r="63" spans="1:1" x14ac:dyDescent="0.35">
      <c r="A63" t="s">
        <v>409</v>
      </c>
    </row>
    <row r="64" spans="1:1" x14ac:dyDescent="0.35">
      <c r="A64" t="s">
        <v>410</v>
      </c>
    </row>
    <row r="65" spans="1:1" x14ac:dyDescent="0.35">
      <c r="A65" t="s">
        <v>411</v>
      </c>
    </row>
    <row r="66" spans="1:1" x14ac:dyDescent="0.35">
      <c r="A66" t="s">
        <v>412</v>
      </c>
    </row>
    <row r="67" spans="1:1" x14ac:dyDescent="0.35">
      <c r="A67" t="s">
        <v>413</v>
      </c>
    </row>
    <row r="68" spans="1:1" x14ac:dyDescent="0.35">
      <c r="A68" t="s">
        <v>414</v>
      </c>
    </row>
    <row r="69" spans="1:1" x14ac:dyDescent="0.35">
      <c r="A69" t="s">
        <v>415</v>
      </c>
    </row>
    <row r="70" spans="1:1" x14ac:dyDescent="0.35">
      <c r="A70" t="s">
        <v>416</v>
      </c>
    </row>
    <row r="71" spans="1:1" x14ac:dyDescent="0.35">
      <c r="A71" t="s">
        <v>417</v>
      </c>
    </row>
    <row r="72" spans="1:1" x14ac:dyDescent="0.35">
      <c r="A72" t="s">
        <v>418</v>
      </c>
    </row>
    <row r="73" spans="1:1" x14ac:dyDescent="0.35">
      <c r="A73" t="s">
        <v>419</v>
      </c>
    </row>
    <row r="74" spans="1:1" x14ac:dyDescent="0.35">
      <c r="A74" t="s">
        <v>420</v>
      </c>
    </row>
    <row r="75" spans="1:1" x14ac:dyDescent="0.35">
      <c r="A75" t="s">
        <v>421</v>
      </c>
    </row>
    <row r="76" spans="1:1" x14ac:dyDescent="0.35">
      <c r="A76" t="s">
        <v>422</v>
      </c>
    </row>
    <row r="77" spans="1:1" x14ac:dyDescent="0.35">
      <c r="A77" t="s">
        <v>423</v>
      </c>
    </row>
    <row r="78" spans="1:1" x14ac:dyDescent="0.35">
      <c r="A78" t="s">
        <v>424</v>
      </c>
    </row>
    <row r="79" spans="1:1" x14ac:dyDescent="0.35">
      <c r="A79" t="s">
        <v>425</v>
      </c>
    </row>
    <row r="80" spans="1:1" x14ac:dyDescent="0.35">
      <c r="A80" t="s">
        <v>426</v>
      </c>
    </row>
    <row r="81" spans="1:1" x14ac:dyDescent="0.35">
      <c r="A81" t="s">
        <v>427</v>
      </c>
    </row>
    <row r="82" spans="1:1" x14ac:dyDescent="0.35">
      <c r="A82" t="s">
        <v>428</v>
      </c>
    </row>
    <row r="83" spans="1:1" x14ac:dyDescent="0.35">
      <c r="A83" t="s">
        <v>429</v>
      </c>
    </row>
    <row r="84" spans="1:1" x14ac:dyDescent="0.35">
      <c r="A84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B5A5-027B-4038-BDB0-4E8E8D639A4D}">
  <sheetPr filterMode="1"/>
  <dimension ref="A1:C121"/>
  <sheetViews>
    <sheetView workbookViewId="0">
      <selection activeCell="A3" sqref="A3:A120"/>
    </sheetView>
  </sheetViews>
  <sheetFormatPr defaultRowHeight="14.5" x14ac:dyDescent="0.35"/>
  <cols>
    <col min="1" max="2" width="31.36328125" bestFit="1" customWidth="1"/>
    <col min="3" max="3" width="10.453125" bestFit="1" customWidth="1"/>
  </cols>
  <sheetData>
    <row r="1" spans="1:3" x14ac:dyDescent="0.35">
      <c r="A1" s="76" t="s">
        <v>468</v>
      </c>
      <c r="B1" s="76" t="s">
        <v>470</v>
      </c>
      <c r="C1" s="76" t="s">
        <v>469</v>
      </c>
    </row>
    <row r="2" spans="1:3" hidden="1" x14ac:dyDescent="0.35">
      <c r="A2" t="s">
        <v>431</v>
      </c>
      <c r="B2" t="str">
        <f>IFERROR(VLOOKUP(A2,'PBI Param list'!$A$2:$A$84,1,0),"_______OOPS______")</f>
        <v>_______OOPS______</v>
      </c>
      <c r="C2" t="s">
        <v>471</v>
      </c>
    </row>
    <row r="3" spans="1:3" x14ac:dyDescent="0.35">
      <c r="A3" t="s">
        <v>422</v>
      </c>
      <c r="B3" t="str">
        <f>IFERROR(VLOOKUP(A3,'PBI Param list'!$A$2:$A$84,1,0),"_______OOPS______")</f>
        <v>_shipment_serial_iss_job</v>
      </c>
      <c r="C3" t="s">
        <v>472</v>
      </c>
    </row>
    <row r="4" spans="1:3" x14ac:dyDescent="0.35">
      <c r="A4" t="s">
        <v>432</v>
      </c>
      <c r="B4" t="str">
        <f>IFERROR(VLOOKUP(A4,'PBI Param list'!$A$2:$A$84,1,0),"_______OOPS______")</f>
        <v>_______OOPS______</v>
      </c>
      <c r="C4" t="s">
        <v>472</v>
      </c>
    </row>
    <row r="5" spans="1:3" hidden="1" x14ac:dyDescent="0.35">
      <c r="A5" t="s">
        <v>433</v>
      </c>
      <c r="B5" t="str">
        <f>IFERROR(VLOOKUP(A5,'PBI Param list'!$A$2:$A$84,1,0),"_______OOPS______")</f>
        <v>_______OOPS______</v>
      </c>
      <c r="C5" t="s">
        <v>471</v>
      </c>
    </row>
    <row r="6" spans="1:3" x14ac:dyDescent="0.35">
      <c r="A6" t="s">
        <v>404</v>
      </c>
      <c r="B6" t="str">
        <f>IFERROR(VLOOKUP(A6,'PBI Param list'!$A$2:$A$84,1,0),"_______OOPS______")</f>
        <v>_pid</v>
      </c>
      <c r="C6" t="s">
        <v>472</v>
      </c>
    </row>
    <row r="7" spans="1:3" x14ac:dyDescent="0.35">
      <c r="A7" t="s">
        <v>424</v>
      </c>
      <c r="B7" t="str">
        <f>IFERROR(VLOOKUP(A7,'PBI Param list'!$A$2:$A$84,1,0),"_______OOPS______")</f>
        <v>_supplier_code</v>
      </c>
      <c r="C7" t="s">
        <v>472</v>
      </c>
    </row>
    <row r="8" spans="1:3" x14ac:dyDescent="0.35">
      <c r="A8" t="s">
        <v>425</v>
      </c>
      <c r="B8" t="str">
        <f>IFERROR(VLOOKUP(A8,'PBI Param list'!$A$2:$A$84,1,0),"_______OOPS______")</f>
        <v>_supplier_name</v>
      </c>
      <c r="C8" t="s">
        <v>472</v>
      </c>
    </row>
    <row r="9" spans="1:3" x14ac:dyDescent="0.35">
      <c r="A9" t="s">
        <v>408</v>
      </c>
      <c r="B9" t="str">
        <f>IFERROR(VLOOKUP(A9,'PBI Param list'!$A$2:$A$84,1,0),"_______OOPS______")</f>
        <v>_po_no_ekporef</v>
      </c>
      <c r="C9" t="s">
        <v>472</v>
      </c>
    </row>
    <row r="10" spans="1:3" x14ac:dyDescent="0.35">
      <c r="A10" t="s">
        <v>418</v>
      </c>
      <c r="B10" t="str">
        <f>IFERROR(VLOOKUP(A10,'PBI Param list'!$A$2:$A$84,1,0),"_______OOPS______")</f>
        <v>_secondary_po</v>
      </c>
      <c r="C10" t="s">
        <v>472</v>
      </c>
    </row>
    <row r="11" spans="1:3" x14ac:dyDescent="0.35">
      <c r="A11" t="s">
        <v>410</v>
      </c>
      <c r="B11" t="str">
        <f>IFERROR(VLOOKUP(A11,'PBI Param list'!$A$2:$A$84,1,0),"_______OOPS______")</f>
        <v>_po_remarks</v>
      </c>
      <c r="C11" t="s">
        <v>472</v>
      </c>
    </row>
    <row r="12" spans="1:3" x14ac:dyDescent="0.35">
      <c r="A12" t="s">
        <v>361</v>
      </c>
      <c r="B12" t="str">
        <f>IFERROR(VLOOKUP(A12,'PBI Param list'!$A$2:$A$84,1,0),"_______OOPS______")</f>
        <v>_commodity</v>
      </c>
      <c r="C12" t="s">
        <v>472</v>
      </c>
    </row>
    <row r="13" spans="1:3" x14ac:dyDescent="0.35">
      <c r="A13" t="s">
        <v>383</v>
      </c>
      <c r="B13" t="str">
        <f>IFERROR(VLOOKUP(A13,'PBI Param list'!$A$2:$A$84,1,0),"_______OOPS______")</f>
        <v>_iss_ref</v>
      </c>
      <c r="C13" t="s">
        <v>472</v>
      </c>
    </row>
    <row r="14" spans="1:3" x14ac:dyDescent="0.35">
      <c r="A14" t="s">
        <v>419</v>
      </c>
      <c r="B14" t="str">
        <f>IFERROR(VLOOKUP(A14,'PBI Param list'!$A$2:$A$84,1,0),"_______OOPS______")</f>
        <v>_mode</v>
      </c>
      <c r="C14" t="s">
        <v>472</v>
      </c>
    </row>
    <row r="15" spans="1:3" x14ac:dyDescent="0.35">
      <c r="A15" t="s">
        <v>360</v>
      </c>
      <c r="B15" t="str">
        <f>IFERROR(VLOOKUP(A15,'PBI Param list'!$A$2:$A$84,1,0),"_______OOPS______")</f>
        <v>_client_id</v>
      </c>
      <c r="C15" t="s">
        <v>472</v>
      </c>
    </row>
    <row r="16" spans="1:3" x14ac:dyDescent="0.35">
      <c r="A16" t="s">
        <v>359</v>
      </c>
      <c r="B16" t="str">
        <f>IFERROR(VLOOKUP(A16,'PBI Param list'!$A$2:$A$84,1,0),"_______OOPS______")</f>
        <v>_client</v>
      </c>
      <c r="C16" t="s">
        <v>472</v>
      </c>
    </row>
    <row r="17" spans="1:3" x14ac:dyDescent="0.35">
      <c r="A17" t="s">
        <v>416</v>
      </c>
      <c r="B17" t="str">
        <f>IFERROR(VLOOKUP(A17,'PBI Param list'!$A$2:$A$84,1,0),"_______OOPS______")</f>
        <v>_routed_by</v>
      </c>
      <c r="C17" t="s">
        <v>472</v>
      </c>
    </row>
    <row r="18" spans="1:3" x14ac:dyDescent="0.35">
      <c r="A18" t="s">
        <v>390</v>
      </c>
      <c r="B18" t="str">
        <f>IFERROR(VLOOKUP(A18,'PBI Param list'!$A$2:$A$84,1,0),"_______OOPS______")</f>
        <v>_incoterms</v>
      </c>
      <c r="C18" t="s">
        <v>472</v>
      </c>
    </row>
    <row r="19" spans="1:3" x14ac:dyDescent="0.35">
      <c r="A19" t="s">
        <v>391</v>
      </c>
      <c r="B19" t="str">
        <f>IFERROR(VLOOKUP(A19,'PBI Param list'!$A$2:$A$84,1,0),"_______OOPS______")</f>
        <v>_incoterms_fo</v>
      </c>
      <c r="C19" t="s">
        <v>472</v>
      </c>
    </row>
    <row r="20" spans="1:3" x14ac:dyDescent="0.35">
      <c r="A20" t="s">
        <v>389</v>
      </c>
      <c r="B20" t="str">
        <f>IFERROR(VLOOKUP(A20,'PBI Param list'!$A$2:$A$84,1,0),"_______OOPS______")</f>
        <v>_hbl_hawb</v>
      </c>
      <c r="C20" t="s">
        <v>472</v>
      </c>
    </row>
    <row r="21" spans="1:3" x14ac:dyDescent="0.35">
      <c r="A21" t="s">
        <v>393</v>
      </c>
      <c r="B21" t="str">
        <f>IFERROR(VLOOKUP(A21,'PBI Param list'!$A$2:$A$84,1,0),"_______OOPS______")</f>
        <v>_mbl_mawb</v>
      </c>
      <c r="C21" t="s">
        <v>472</v>
      </c>
    </row>
    <row r="22" spans="1:3" x14ac:dyDescent="0.35">
      <c r="A22" t="s">
        <v>362</v>
      </c>
      <c r="B22" t="str">
        <f>IFERROR(VLOOKUP(A22,'PBI Param list'!$A$2:$A$84,1,0),"_______OOPS______")</f>
        <v>_container_no</v>
      </c>
      <c r="C22" t="s">
        <v>472</v>
      </c>
    </row>
    <row r="23" spans="1:3" x14ac:dyDescent="0.35">
      <c r="A23" t="s">
        <v>396</v>
      </c>
      <c r="B23" t="str">
        <f>IFERROR(VLOOKUP(A23,'PBI Param list'!$A$2:$A$84,1,0),"_______OOPS______")</f>
        <v>_origin_port_pol</v>
      </c>
      <c r="C23" t="s">
        <v>472</v>
      </c>
    </row>
    <row r="24" spans="1:3" x14ac:dyDescent="0.35">
      <c r="A24" t="s">
        <v>395</v>
      </c>
      <c r="B24" t="str">
        <f>IFERROR(VLOOKUP(A24,'PBI Param list'!$A$2:$A$84,1,0),"_______OOPS______")</f>
        <v>_origin_port_name</v>
      </c>
      <c r="C24" t="s">
        <v>472</v>
      </c>
    </row>
    <row r="25" spans="1:3" x14ac:dyDescent="0.35">
      <c r="A25" t="s">
        <v>394</v>
      </c>
      <c r="B25" t="str">
        <f>IFERROR(VLOOKUP(A25,'PBI Param list'!$A$2:$A$84,1,0),"_______OOPS______")</f>
        <v>_origin_country</v>
      </c>
      <c r="C25" t="s">
        <v>472</v>
      </c>
    </row>
    <row r="26" spans="1:3" x14ac:dyDescent="0.35">
      <c r="A26" t="s">
        <v>397</v>
      </c>
      <c r="B26" t="str">
        <f>IFERROR(VLOOKUP(A26,'PBI Param list'!$A$2:$A$84,1,0),"_______OOPS______")</f>
        <v>_origin_region_org_reg</v>
      </c>
      <c r="C26" t="s">
        <v>472</v>
      </c>
    </row>
    <row r="27" spans="1:3" x14ac:dyDescent="0.35">
      <c r="A27" t="s">
        <v>373</v>
      </c>
      <c r="B27" t="str">
        <f>IFERROR(VLOOKUP(A27,'PBI Param list'!$A$2:$A$84,1,0),"_______OOPS______")</f>
        <v>_destination_port_code_dest</v>
      </c>
      <c r="C27" t="s">
        <v>472</v>
      </c>
    </row>
    <row r="28" spans="1:3" x14ac:dyDescent="0.35">
      <c r="A28" t="s">
        <v>374</v>
      </c>
      <c r="B28" t="str">
        <f>IFERROR(VLOOKUP(A28,'PBI Param list'!$A$2:$A$84,1,0),"_______OOPS______")</f>
        <v>_destination_port_name_dest</v>
      </c>
      <c r="C28" t="s">
        <v>472</v>
      </c>
    </row>
    <row r="29" spans="1:3" x14ac:dyDescent="0.35">
      <c r="A29" t="s">
        <v>434</v>
      </c>
      <c r="B29" t="str">
        <f>IFERROR(VLOOKUP(A29,'PBI Param list'!$A$2:$A$84,1,0),"_______OOPS______")</f>
        <v>_______OOPS______</v>
      </c>
      <c r="C29" t="s">
        <v>472</v>
      </c>
    </row>
    <row r="30" spans="1:3" x14ac:dyDescent="0.35">
      <c r="A30" t="s">
        <v>372</v>
      </c>
      <c r="B30" t="str">
        <f>IFERROR(VLOOKUP(A30,'PBI Param list'!$A$2:$A$84,1,0),"_______OOPS______")</f>
        <v>_destination_country_dest</v>
      </c>
      <c r="C30" t="s">
        <v>472</v>
      </c>
    </row>
    <row r="31" spans="1:3" x14ac:dyDescent="0.35">
      <c r="A31" t="s">
        <v>375</v>
      </c>
      <c r="B31" t="str">
        <f>IFERROR(VLOOKUP(A31,'PBI Param list'!$A$2:$A$84,1,0),"_______OOPS______")</f>
        <v>_destination_region_org_reg</v>
      </c>
      <c r="C31" t="s">
        <v>472</v>
      </c>
    </row>
    <row r="32" spans="1:3" x14ac:dyDescent="0.35">
      <c r="A32" t="s">
        <v>380</v>
      </c>
      <c r="B32" t="str">
        <f>IFERROR(VLOOKUP(A32,'PBI Param list'!$A$2:$A$84,1,0),"_______OOPS______")</f>
        <v>_eqpt_type</v>
      </c>
      <c r="C32" t="s">
        <v>472</v>
      </c>
    </row>
    <row r="33" spans="1:3" x14ac:dyDescent="0.35">
      <c r="A33" t="s">
        <v>348</v>
      </c>
      <c r="B33" t="str">
        <f>IFERROR(VLOOKUP(A33,'PBI Param list'!$A$2:$A$84,1,0),"_______OOPS______")</f>
        <v>_20_ft</v>
      </c>
      <c r="C33" t="s">
        <v>472</v>
      </c>
    </row>
    <row r="34" spans="1:3" x14ac:dyDescent="0.35">
      <c r="A34" t="s">
        <v>349</v>
      </c>
      <c r="B34" t="str">
        <f>IFERROR(VLOOKUP(A34,'PBI Param list'!$A$2:$A$84,1,0),"_______OOPS______")</f>
        <v>_40_ft</v>
      </c>
      <c r="C34" t="s">
        <v>472</v>
      </c>
    </row>
    <row r="35" spans="1:3" x14ac:dyDescent="0.35">
      <c r="A35" t="s">
        <v>428</v>
      </c>
      <c r="B35" t="str">
        <f>IFERROR(VLOOKUP(A35,'PBI Param list'!$A$2:$A$84,1,0),"_______OOPS______")</f>
        <v>_count_of_cont</v>
      </c>
      <c r="C35" t="s">
        <v>472</v>
      </c>
    </row>
    <row r="36" spans="1:3" x14ac:dyDescent="0.35">
      <c r="A36" t="s">
        <v>430</v>
      </c>
      <c r="B36" t="str">
        <f>IFERROR(VLOOKUP(A36,'PBI Param list'!$A$2:$A$84,1,0),"_______OOPS______")</f>
        <v>_teus</v>
      </c>
      <c r="C36" t="s">
        <v>472</v>
      </c>
    </row>
    <row r="37" spans="1:3" x14ac:dyDescent="0.35">
      <c r="A37" t="s">
        <v>356</v>
      </c>
      <c r="B37" t="str">
        <f>IFERROR(VLOOKUP(A37,'PBI Param list'!$A$2:$A$84,1,0),"_______OOPS______")</f>
        <v>_carrier</v>
      </c>
      <c r="C37" t="s">
        <v>472</v>
      </c>
    </row>
    <row r="38" spans="1:3" x14ac:dyDescent="0.35">
      <c r="A38" t="s">
        <v>352</v>
      </c>
      <c r="B38" t="str">
        <f>IFERROR(VLOOKUP(A38,'PBI Param list'!$A$2:$A$84,1,0),"_______OOPS______")</f>
        <v>_arrival_date</v>
      </c>
      <c r="C38" t="s">
        <v>472</v>
      </c>
    </row>
    <row r="39" spans="1:3" x14ac:dyDescent="0.35">
      <c r="A39" t="s">
        <v>371</v>
      </c>
      <c r="B39" t="str">
        <f>IFERROR(VLOOKUP(A39,'PBI Param list'!$A$2:$A$84,1,0),"_______OOPS______")</f>
        <v>_departure_date</v>
      </c>
      <c r="C39" t="s">
        <v>472</v>
      </c>
    </row>
    <row r="40" spans="1:3" x14ac:dyDescent="0.35">
      <c r="A40" t="s">
        <v>412</v>
      </c>
      <c r="B40" t="str">
        <f>IFERROR(VLOOKUP(A40,'PBI Param list'!$A$2:$A$84,1,0),"_______OOPS______")</f>
        <v>_pr_appr_date</v>
      </c>
      <c r="C40" t="s">
        <v>472</v>
      </c>
    </row>
    <row r="41" spans="1:3" x14ac:dyDescent="0.35">
      <c r="A41" t="s">
        <v>405</v>
      </c>
      <c r="B41" t="str">
        <f>IFERROR(VLOOKUP(A41,'PBI Param list'!$A$2:$A$84,1,0),"_______OOPS______")</f>
        <v>_po_appr_date</v>
      </c>
      <c r="C41" t="s">
        <v>472</v>
      </c>
    </row>
    <row r="42" spans="1:3" x14ac:dyDescent="0.35">
      <c r="A42" t="s">
        <v>406</v>
      </c>
      <c r="B42" t="str">
        <f>IFERROR(VLOOKUP(A42,'PBI Param list'!$A$2:$A$84,1,0),"_______OOPS______")</f>
        <v>_po_creation_date</v>
      </c>
      <c r="C42" t="s">
        <v>472</v>
      </c>
    </row>
    <row r="43" spans="1:3" x14ac:dyDescent="0.35">
      <c r="A43" t="s">
        <v>409</v>
      </c>
      <c r="B43" t="str">
        <f>IFERROR(VLOOKUP(A43,'PBI Param list'!$A$2:$A$84,1,0),"_______OOPS______")</f>
        <v>_po_recd_date</v>
      </c>
      <c r="C43" t="s">
        <v>472</v>
      </c>
    </row>
    <row r="44" spans="1:3" x14ac:dyDescent="0.35">
      <c r="A44" t="s">
        <v>407</v>
      </c>
      <c r="B44" t="str">
        <f>IFERROR(VLOOKUP(A44,'PBI Param list'!$A$2:$A$84,1,0),"_______OOPS______")</f>
        <v>_po_need_by_date</v>
      </c>
      <c r="C44" t="s">
        <v>472</v>
      </c>
    </row>
    <row r="45" spans="1:3" x14ac:dyDescent="0.35">
      <c r="A45" t="s">
        <v>354</v>
      </c>
      <c r="B45" t="str">
        <f>IFERROR(VLOOKUP(A45,'PBI Param list'!$A$2:$A$84,1,0),"_______OOPS______")</f>
        <v>_crd</v>
      </c>
      <c r="C45" t="s">
        <v>472</v>
      </c>
    </row>
    <row r="46" spans="1:3" x14ac:dyDescent="0.35">
      <c r="A46" t="s">
        <v>355</v>
      </c>
      <c r="B46" t="str">
        <f>IFERROR(VLOOKUP(A46,'PBI Param list'!$A$2:$A$84,1,0),"_______OOPS______")</f>
        <v>_est_cargo_ready_date</v>
      </c>
      <c r="C46" t="s">
        <v>472</v>
      </c>
    </row>
    <row r="47" spans="1:3" x14ac:dyDescent="0.35">
      <c r="A47" t="s">
        <v>386</v>
      </c>
      <c r="B47" t="str">
        <f>IFERROR(VLOOKUP(A47,'PBI Param list'!$A$2:$A$84,1,0),"_______OOPS______")</f>
        <v>_goods_cleared_origin</v>
      </c>
      <c r="C47" t="s">
        <v>472</v>
      </c>
    </row>
    <row r="48" spans="1:3" x14ac:dyDescent="0.35">
      <c r="A48" t="s">
        <v>387</v>
      </c>
      <c r="B48" t="str">
        <f>IFERROR(VLOOKUP(A48,'PBI Param list'!$A$2:$A$84,1,0),"_______OOPS______")</f>
        <v>_goods_cleared_destination</v>
      </c>
      <c r="C48" t="s">
        <v>472</v>
      </c>
    </row>
    <row r="49" spans="1:3" x14ac:dyDescent="0.35">
      <c r="A49" t="s">
        <v>403</v>
      </c>
      <c r="B49" t="str">
        <f>IFERROR(VLOOKUP(A49,'PBI Param list'!$A$2:$A$84,1,0),"_______OOPS______")</f>
        <v>_pickup_date</v>
      </c>
      <c r="C49" t="s">
        <v>472</v>
      </c>
    </row>
    <row r="50" spans="1:3" x14ac:dyDescent="0.35">
      <c r="A50" t="s">
        <v>353</v>
      </c>
      <c r="B50" t="str">
        <f>IFERROR(VLOOKUP(A50,'PBI Param list'!$A$2:$A$84,1,0),"_______OOPS______")</f>
        <v>_cargo_ho</v>
      </c>
      <c r="C50" t="s">
        <v>472</v>
      </c>
    </row>
    <row r="51" spans="1:3" x14ac:dyDescent="0.35">
      <c r="A51" t="s">
        <v>382</v>
      </c>
      <c r="B51" t="str">
        <f>IFERROR(VLOOKUP(A51,'PBI Param list'!$A$2:$A$84,1,0),"_______OOPS______")</f>
        <v>_etd</v>
      </c>
      <c r="C51" t="s">
        <v>472</v>
      </c>
    </row>
    <row r="52" spans="1:3" x14ac:dyDescent="0.35">
      <c r="A52" t="s">
        <v>415</v>
      </c>
      <c r="B52" t="str">
        <f>IFERROR(VLOOKUP(A52,'PBI Param list'!$A$2:$A$84,1,0),"_______OOPS______")</f>
        <v>_revised_etd</v>
      </c>
      <c r="C52" t="s">
        <v>472</v>
      </c>
    </row>
    <row r="53" spans="1:3" x14ac:dyDescent="0.35">
      <c r="A53" t="s">
        <v>381</v>
      </c>
      <c r="B53" t="str">
        <f>IFERROR(VLOOKUP(A53,'PBI Param list'!$A$2:$A$84,1,0),"_______OOPS______")</f>
        <v>_eta</v>
      </c>
      <c r="C53" t="s">
        <v>472</v>
      </c>
    </row>
    <row r="54" spans="1:3" x14ac:dyDescent="0.35">
      <c r="A54" t="s">
        <v>414</v>
      </c>
      <c r="B54" t="str">
        <f>IFERROR(VLOOKUP(A54,'PBI Param list'!$A$2:$A$84,1,0),"_______OOPS______")</f>
        <v>_revised_eta</v>
      </c>
      <c r="C54" t="s">
        <v>472</v>
      </c>
    </row>
    <row r="55" spans="1:3" x14ac:dyDescent="0.35">
      <c r="A55" t="s">
        <v>411</v>
      </c>
      <c r="B55" t="str">
        <f>IFERROR(VLOOKUP(A55,'PBI Param list'!$A$2:$A$84,1,0),"_______OOPS______")</f>
        <v>_pod_date</v>
      </c>
      <c r="C55" t="s">
        <v>472</v>
      </c>
    </row>
    <row r="56" spans="1:3" x14ac:dyDescent="0.35">
      <c r="A56" t="s">
        <v>378</v>
      </c>
      <c r="B56" t="str">
        <f>IFERROR(VLOOKUP(A56,'PBI Param list'!$A$2:$A$84,1,0),"_______OOPS______")</f>
        <v>_do_date</v>
      </c>
      <c r="C56" t="s">
        <v>472</v>
      </c>
    </row>
    <row r="57" spans="1:3" x14ac:dyDescent="0.35">
      <c r="A57" t="s">
        <v>379</v>
      </c>
      <c r="B57" t="str">
        <f>IFERROR(VLOOKUP(A57,'PBI Param list'!$A$2:$A$84,1,0),"_______OOPS______")</f>
        <v>_do_exp</v>
      </c>
      <c r="C57" t="s">
        <v>472</v>
      </c>
    </row>
    <row r="58" spans="1:3" x14ac:dyDescent="0.35">
      <c r="A58" t="s">
        <v>369</v>
      </c>
      <c r="B58" t="str">
        <f>IFERROR(VLOOKUP(A58,'PBI Param list'!$A$2:$A$84,1,0),"_______OOPS______")</f>
        <v>_del</v>
      </c>
      <c r="C58" t="s">
        <v>472</v>
      </c>
    </row>
    <row r="59" spans="1:3" x14ac:dyDescent="0.35">
      <c r="A59" t="s">
        <v>435</v>
      </c>
      <c r="B59" t="str">
        <f>IFERROR(VLOOKUP(A59,'PBI Param list'!$A$2:$A$84,1,0),"_______OOPS______")</f>
        <v>_______OOPS______</v>
      </c>
      <c r="C59" t="s">
        <v>472</v>
      </c>
    </row>
    <row r="60" spans="1:3" x14ac:dyDescent="0.35">
      <c r="A60" t="s">
        <v>436</v>
      </c>
      <c r="B60" t="str">
        <f>IFERROR(VLOOKUP(A60,'PBI Param list'!$A$2:$A$84,1,0),"_______OOPS______")</f>
        <v>_______OOPS______</v>
      </c>
      <c r="C60" t="s">
        <v>472</v>
      </c>
    </row>
    <row r="61" spans="1:3" x14ac:dyDescent="0.35">
      <c r="A61" t="s">
        <v>437</v>
      </c>
      <c r="B61" t="str">
        <f>IFERROR(VLOOKUP(A61,'PBI Param list'!$A$2:$A$84,1,0),"_______OOPS______")</f>
        <v>_______OOPS______</v>
      </c>
      <c r="C61" t="s">
        <v>472</v>
      </c>
    </row>
    <row r="62" spans="1:3" x14ac:dyDescent="0.35">
      <c r="A62" t="s">
        <v>438</v>
      </c>
      <c r="B62" t="str">
        <f>IFERROR(VLOOKUP(A62,'PBI Param list'!$A$2:$A$84,1,0),"_______OOPS______")</f>
        <v>_______OOPS______</v>
      </c>
      <c r="C62" t="s">
        <v>472</v>
      </c>
    </row>
    <row r="63" spans="1:3" x14ac:dyDescent="0.35">
      <c r="A63" t="s">
        <v>439</v>
      </c>
      <c r="B63" t="str">
        <f>IFERROR(VLOOKUP(A63,'PBI Param list'!$A$2:$A$84,1,0),"_______OOPS______")</f>
        <v>_______OOPS______</v>
      </c>
      <c r="C63" t="s">
        <v>472</v>
      </c>
    </row>
    <row r="64" spans="1:3" x14ac:dyDescent="0.35">
      <c r="A64" t="s">
        <v>440</v>
      </c>
      <c r="B64" t="str">
        <f>IFERROR(VLOOKUP(A64,'PBI Param list'!$A$2:$A$84,1,0),"_______OOPS______")</f>
        <v>_______OOPS______</v>
      </c>
      <c r="C64" t="s">
        <v>472</v>
      </c>
    </row>
    <row r="65" spans="1:3" x14ac:dyDescent="0.35">
      <c r="A65" t="s">
        <v>441</v>
      </c>
      <c r="B65" t="str">
        <f>IFERROR(VLOOKUP(A65,'PBI Param list'!$A$2:$A$84,1,0),"_______OOPS______")</f>
        <v>_______OOPS______</v>
      </c>
      <c r="C65" t="s">
        <v>472</v>
      </c>
    </row>
    <row r="66" spans="1:3" x14ac:dyDescent="0.35">
      <c r="A66" t="s">
        <v>442</v>
      </c>
      <c r="B66" t="str">
        <f>IFERROR(VLOOKUP(A66,'PBI Param list'!$A$2:$A$84,1,0),"_______OOPS______")</f>
        <v>_______OOPS______</v>
      </c>
      <c r="C66" t="s">
        <v>472</v>
      </c>
    </row>
    <row r="67" spans="1:3" x14ac:dyDescent="0.35">
      <c r="A67" t="s">
        <v>443</v>
      </c>
      <c r="B67" t="str">
        <f>IFERROR(VLOOKUP(A67,'PBI Param list'!$A$2:$A$84,1,0),"_______OOPS______")</f>
        <v>_______OOPS______</v>
      </c>
      <c r="C67" t="s">
        <v>472</v>
      </c>
    </row>
    <row r="68" spans="1:3" x14ac:dyDescent="0.35">
      <c r="A68" t="s">
        <v>444</v>
      </c>
      <c r="B68" t="str">
        <f>IFERROR(VLOOKUP(A68,'PBI Param list'!$A$2:$A$84,1,0),"_______OOPS______")</f>
        <v>_______OOPS______</v>
      </c>
      <c r="C68" t="s">
        <v>472</v>
      </c>
    </row>
    <row r="69" spans="1:3" x14ac:dyDescent="0.35">
      <c r="A69" t="s">
        <v>445</v>
      </c>
      <c r="B69" t="str">
        <f>IFERROR(VLOOKUP(A69,'PBI Param list'!$A$2:$A$84,1,0),"_______OOPS______")</f>
        <v>_______OOPS______</v>
      </c>
      <c r="C69" t="s">
        <v>472</v>
      </c>
    </row>
    <row r="70" spans="1:3" x14ac:dyDescent="0.35">
      <c r="A70" t="s">
        <v>446</v>
      </c>
      <c r="B70" t="str">
        <f>IFERROR(VLOOKUP(A70,'PBI Param list'!$A$2:$A$84,1,0),"_______OOPS______")</f>
        <v>_______OOPS______</v>
      </c>
      <c r="C70" t="s">
        <v>472</v>
      </c>
    </row>
    <row r="71" spans="1:3" x14ac:dyDescent="0.35">
      <c r="A71" t="s">
        <v>447</v>
      </c>
      <c r="B71" t="str">
        <f>IFERROR(VLOOKUP(A71,'PBI Param list'!$A$2:$A$84,1,0),"_______OOPS______")</f>
        <v>_______OOPS______</v>
      </c>
      <c r="C71" t="s">
        <v>472</v>
      </c>
    </row>
    <row r="72" spans="1:3" x14ac:dyDescent="0.35">
      <c r="A72" t="s">
        <v>448</v>
      </c>
      <c r="B72" t="str">
        <f>IFERROR(VLOOKUP(A72,'PBI Param list'!$A$2:$A$84,1,0),"_______OOPS______")</f>
        <v>_______OOPS______</v>
      </c>
      <c r="C72" t="s">
        <v>472</v>
      </c>
    </row>
    <row r="73" spans="1:3" x14ac:dyDescent="0.35">
      <c r="A73" t="s">
        <v>449</v>
      </c>
      <c r="B73" t="str">
        <f>IFERROR(VLOOKUP(A73,'PBI Param list'!$A$2:$A$84,1,0),"_______OOPS______")</f>
        <v>_______OOPS______</v>
      </c>
      <c r="C73" t="s">
        <v>472</v>
      </c>
    </row>
    <row r="74" spans="1:3" x14ac:dyDescent="0.35">
      <c r="A74" t="s">
        <v>450</v>
      </c>
      <c r="B74" t="str">
        <f>IFERROR(VLOOKUP(A74,'PBI Param list'!$A$2:$A$84,1,0),"_______OOPS______")</f>
        <v>_______OOPS______</v>
      </c>
      <c r="C74" t="s">
        <v>472</v>
      </c>
    </row>
    <row r="75" spans="1:3" x14ac:dyDescent="0.35">
      <c r="A75" t="s">
        <v>451</v>
      </c>
      <c r="B75" t="str">
        <f>IFERROR(VLOOKUP(A75,'PBI Param list'!$A$2:$A$84,1,0),"_______OOPS______")</f>
        <v>_______OOPS______</v>
      </c>
      <c r="C75" t="s">
        <v>472</v>
      </c>
    </row>
    <row r="76" spans="1:3" x14ac:dyDescent="0.35">
      <c r="A76" t="s">
        <v>452</v>
      </c>
      <c r="B76" t="str">
        <f>IFERROR(VLOOKUP(A76,'PBI Param list'!$A$2:$A$84,1,0),"_______OOPS______")</f>
        <v>_______OOPS______</v>
      </c>
      <c r="C76" t="s">
        <v>472</v>
      </c>
    </row>
    <row r="77" spans="1:3" x14ac:dyDescent="0.35">
      <c r="A77" t="s">
        <v>453</v>
      </c>
      <c r="B77" t="str">
        <f>IFERROR(VLOOKUP(A77,'PBI Param list'!$A$2:$A$84,1,0),"_______OOPS______")</f>
        <v>_______OOPS______</v>
      </c>
      <c r="C77" t="s">
        <v>472</v>
      </c>
    </row>
    <row r="78" spans="1:3" x14ac:dyDescent="0.35">
      <c r="A78" t="s">
        <v>454</v>
      </c>
      <c r="B78" t="str">
        <f>IFERROR(VLOOKUP(A78,'PBI Param list'!$A$2:$A$84,1,0),"_______OOPS______")</f>
        <v>_______OOPS______</v>
      </c>
      <c r="C78" t="s">
        <v>472</v>
      </c>
    </row>
    <row r="79" spans="1:3" x14ac:dyDescent="0.35">
      <c r="A79" t="s">
        <v>455</v>
      </c>
      <c r="B79" t="str">
        <f>IFERROR(VLOOKUP(A79,'PBI Param list'!$A$2:$A$84,1,0),"_______OOPS______")</f>
        <v>_______OOPS______</v>
      </c>
      <c r="C79" t="s">
        <v>472</v>
      </c>
    </row>
    <row r="80" spans="1:3" x14ac:dyDescent="0.35">
      <c r="A80" t="s">
        <v>456</v>
      </c>
      <c r="B80" t="str">
        <f>IFERROR(VLOOKUP(A80,'PBI Param list'!$A$2:$A$84,1,0),"_______OOPS______")</f>
        <v>_______OOPS______</v>
      </c>
      <c r="C80" t="s">
        <v>472</v>
      </c>
    </row>
    <row r="81" spans="1:3" x14ac:dyDescent="0.35">
      <c r="A81" t="s">
        <v>457</v>
      </c>
      <c r="B81" t="str">
        <f>IFERROR(VLOOKUP(A81,'PBI Param list'!$A$2:$A$84,1,0),"_______OOPS______")</f>
        <v>_______OOPS______</v>
      </c>
      <c r="C81" t="s">
        <v>472</v>
      </c>
    </row>
    <row r="82" spans="1:3" x14ac:dyDescent="0.35">
      <c r="A82" t="s">
        <v>458</v>
      </c>
      <c r="B82" t="str">
        <f>IFERROR(VLOOKUP(A82,'PBI Param list'!$A$2:$A$84,1,0),"_______OOPS______")</f>
        <v>_______OOPS______</v>
      </c>
      <c r="C82" t="s">
        <v>472</v>
      </c>
    </row>
    <row r="83" spans="1:3" x14ac:dyDescent="0.35">
      <c r="A83" t="s">
        <v>459</v>
      </c>
      <c r="B83" t="str">
        <f>IFERROR(VLOOKUP(A83,'PBI Param list'!$A$2:$A$84,1,0),"_______OOPS______")</f>
        <v>_______OOPS______</v>
      </c>
      <c r="C83" t="s">
        <v>472</v>
      </c>
    </row>
    <row r="84" spans="1:3" x14ac:dyDescent="0.35">
      <c r="A84" t="s">
        <v>460</v>
      </c>
      <c r="B84" t="str">
        <f>IFERROR(VLOOKUP(A84,'PBI Param list'!$A$2:$A$84,1,0),"_______OOPS______")</f>
        <v>_______OOPS______</v>
      </c>
      <c r="C84" t="s">
        <v>472</v>
      </c>
    </row>
    <row r="85" spans="1:3" x14ac:dyDescent="0.35">
      <c r="A85" t="s">
        <v>461</v>
      </c>
      <c r="B85" t="str">
        <f>IFERROR(VLOOKUP(A85,'PBI Param list'!$A$2:$A$84,1,0),"_______OOPS______")</f>
        <v>_______OOPS______</v>
      </c>
      <c r="C85" t="s">
        <v>472</v>
      </c>
    </row>
    <row r="86" spans="1:3" x14ac:dyDescent="0.35">
      <c r="A86" t="s">
        <v>462</v>
      </c>
      <c r="B86" t="str">
        <f>IFERROR(VLOOKUP(A86,'PBI Param list'!$A$2:$A$84,1,0),"_______OOPS______")</f>
        <v>_______OOPS______</v>
      </c>
      <c r="C86" t="s">
        <v>472</v>
      </c>
    </row>
    <row r="87" spans="1:3" x14ac:dyDescent="0.35">
      <c r="A87" t="s">
        <v>363</v>
      </c>
      <c r="B87" t="str">
        <f>IFERROR(VLOOKUP(A87,'PBI Param list'!$A$2:$A$84,1,0),"_______OOPS______")</f>
        <v>_days_order_placement_lt</v>
      </c>
      <c r="C87" t="s">
        <v>472</v>
      </c>
    </row>
    <row r="88" spans="1:3" x14ac:dyDescent="0.35">
      <c r="A88" t="s">
        <v>364</v>
      </c>
      <c r="B88" t="str">
        <f>IFERROR(VLOOKUP(A88,'PBI Param list'!$A$2:$A$84,1,0),"_______OOPS______")</f>
        <v>_days_supplier_production_lead_time</v>
      </c>
      <c r="C88" t="s">
        <v>472</v>
      </c>
    </row>
    <row r="89" spans="1:3" x14ac:dyDescent="0.35">
      <c r="A89" t="s">
        <v>365</v>
      </c>
      <c r="B89" t="str">
        <f>IFERROR(VLOOKUP(A89,'PBI Param list'!$A$2:$A$84,1,0),"_______OOPS______")</f>
        <v>_days_custom_clearance_lt</v>
      </c>
      <c r="C89" t="s">
        <v>472</v>
      </c>
    </row>
    <row r="90" spans="1:3" x14ac:dyDescent="0.35">
      <c r="A90" t="s">
        <v>366</v>
      </c>
      <c r="B90" t="str">
        <f>IFERROR(VLOOKUP(A90,'PBI Param list'!$A$2:$A$84,1,0),"_______OOPS______")</f>
        <v>_days_iss_cont_booking_lt</v>
      </c>
      <c r="C90" t="s">
        <v>472</v>
      </c>
    </row>
    <row r="91" spans="1:3" x14ac:dyDescent="0.35">
      <c r="A91" t="s">
        <v>367</v>
      </c>
      <c r="B91" t="str">
        <f>IFERROR(VLOOKUP(A91,'PBI Param list'!$A$2:$A$84,1,0),"_______OOPS______")</f>
        <v>_days_transit_lt</v>
      </c>
      <c r="C91" t="s">
        <v>472</v>
      </c>
    </row>
    <row r="92" spans="1:3" x14ac:dyDescent="0.35">
      <c r="A92" t="s">
        <v>368</v>
      </c>
      <c r="B92" t="str">
        <f>IFERROR(VLOOKUP(A92,'PBI Param list'!$A$2:$A$84,1,0),"_______OOPS______")</f>
        <v>_e2e_total_lt</v>
      </c>
      <c r="C92" t="s">
        <v>472</v>
      </c>
    </row>
    <row r="93" spans="1:3" x14ac:dyDescent="0.35">
      <c r="A93" t="s">
        <v>423</v>
      </c>
      <c r="B93" t="str">
        <f>IFERROR(VLOOKUP(A93,'PBI Param list'!$A$2:$A$84,1,0),"_______OOPS______")</f>
        <v>_status</v>
      </c>
      <c r="C93" t="s">
        <v>472</v>
      </c>
    </row>
    <row r="94" spans="1:3" x14ac:dyDescent="0.35">
      <c r="A94" t="s">
        <v>370</v>
      </c>
      <c r="B94" t="str">
        <f>IFERROR(VLOOKUP(A94,'PBI Param list'!$A$2:$A$84,1,0),"_______OOPS______")</f>
        <v>_delivery_location</v>
      </c>
      <c r="C94" t="s">
        <v>472</v>
      </c>
    </row>
    <row r="95" spans="1:3" x14ac:dyDescent="0.35">
      <c r="A95" t="s">
        <v>392</v>
      </c>
      <c r="B95" t="str">
        <f>IFERROR(VLOOKUP(A95,'PBI Param list'!$A$2:$A$84,1,0),"_______OOPS______")</f>
        <v>_inner_qty</v>
      </c>
      <c r="C95" t="s">
        <v>472</v>
      </c>
    </row>
    <row r="96" spans="1:3" x14ac:dyDescent="0.35">
      <c r="A96" t="s">
        <v>357</v>
      </c>
      <c r="B96" t="str">
        <f>IFERROR(VLOOKUP(A96,'PBI Param list'!$A$2:$A$84,1,0),"_______OOPS______")</f>
        <v>_cbm</v>
      </c>
      <c r="C96" t="s">
        <v>472</v>
      </c>
    </row>
    <row r="97" spans="1:3" x14ac:dyDescent="0.35">
      <c r="A97" t="s">
        <v>388</v>
      </c>
      <c r="B97" t="str">
        <f>IFERROR(VLOOKUP(A97,'PBI Param list'!$A$2:$A$84,1,0),"_______OOPS______")</f>
        <v>_gross_weight</v>
      </c>
      <c r="C97" t="s">
        <v>472</v>
      </c>
    </row>
    <row r="98" spans="1:3" x14ac:dyDescent="0.35">
      <c r="A98" t="s">
        <v>358</v>
      </c>
      <c r="B98" t="str">
        <f>IFERROR(VLOOKUP(A98,'PBI Param list'!$A$2:$A$84,1,0),"_______OOPS______")</f>
        <v>_chargeable_weight</v>
      </c>
      <c r="C98" t="s">
        <v>472</v>
      </c>
    </row>
    <row r="99" spans="1:3" x14ac:dyDescent="0.35">
      <c r="A99" t="s">
        <v>429</v>
      </c>
      <c r="B99" t="str">
        <f>IFERROR(VLOOKUP(A99,'PBI Param list'!$A$2:$A$84,1,0),"_______OOPS______")</f>
        <v>_quantity</v>
      </c>
      <c r="C99" t="s">
        <v>472</v>
      </c>
    </row>
    <row r="100" spans="1:3" x14ac:dyDescent="0.35">
      <c r="A100" t="s">
        <v>402</v>
      </c>
      <c r="B100" t="str">
        <f>IFERROR(VLOOKUP(A100,'PBI Param list'!$A$2:$A$84,1,0),"_______OOPS______")</f>
        <v>_pack_type</v>
      </c>
      <c r="C100" t="s">
        <v>472</v>
      </c>
    </row>
    <row r="101" spans="1:3" x14ac:dyDescent="0.35">
      <c r="A101" t="s">
        <v>421</v>
      </c>
      <c r="B101" t="str">
        <f>IFERROR(VLOOKUP(A101,'PBI Param list'!$A$2:$A$84,1,0),"_______OOPS______")</f>
        <v>_ship_remarks_updates</v>
      </c>
      <c r="C101" t="s">
        <v>472</v>
      </c>
    </row>
    <row r="102" spans="1:3" x14ac:dyDescent="0.35">
      <c r="A102" t="s">
        <v>420</v>
      </c>
      <c r="B102" t="str">
        <f>IFERROR(VLOOKUP(A102,'PBI Param list'!$A$2:$A$84,1,0),"_______OOPS______")</f>
        <v>_ship_billing_remarks</v>
      </c>
      <c r="C102" t="s">
        <v>472</v>
      </c>
    </row>
    <row r="103" spans="1:3" x14ac:dyDescent="0.35">
      <c r="A103" t="s">
        <v>413</v>
      </c>
      <c r="B103" t="str">
        <f>IFERROR(VLOOKUP(A103,'PBI Param list'!$A$2:$A$84,1,0),"_______OOPS______")</f>
        <v>_pre_alert</v>
      </c>
      <c r="C103" t="s">
        <v>472</v>
      </c>
    </row>
    <row r="104" spans="1:3" x14ac:dyDescent="0.35">
      <c r="A104" t="s">
        <v>463</v>
      </c>
      <c r="B104" t="str">
        <f>IFERROR(VLOOKUP(A104,'PBI Param list'!$A$2:$A$84,1,0),"_______OOPS______")</f>
        <v>_______OOPS______</v>
      </c>
      <c r="C104" t="s">
        <v>472</v>
      </c>
    </row>
    <row r="105" spans="1:3" x14ac:dyDescent="0.35">
      <c r="A105" t="s">
        <v>464</v>
      </c>
      <c r="B105" t="str">
        <f>IFERROR(VLOOKUP(A105,'PBI Param list'!$A$2:$A$84,1,0),"_______OOPS______")</f>
        <v>_______OOPS______</v>
      </c>
      <c r="C105" t="s">
        <v>472</v>
      </c>
    </row>
    <row r="106" spans="1:3" x14ac:dyDescent="0.35">
      <c r="A106" t="s">
        <v>465</v>
      </c>
      <c r="B106" t="str">
        <f>IFERROR(VLOOKUP(A106,'PBI Param list'!$A$2:$A$84,1,0),"_______OOPS______")</f>
        <v>_______OOPS______</v>
      </c>
      <c r="C106" t="s">
        <v>472</v>
      </c>
    </row>
    <row r="107" spans="1:3" x14ac:dyDescent="0.35">
      <c r="A107" t="s">
        <v>466</v>
      </c>
      <c r="B107" t="str">
        <f>IFERROR(VLOOKUP(A107,'PBI Param list'!$A$2:$A$84,1,0),"_______OOPS______")</f>
        <v>_______OOPS______</v>
      </c>
      <c r="C107" t="s">
        <v>472</v>
      </c>
    </row>
    <row r="108" spans="1:3" x14ac:dyDescent="0.35">
      <c r="A108" t="s">
        <v>398</v>
      </c>
      <c r="B108" t="str">
        <f>IFERROR(VLOOKUP(A108,'PBI Param list'!$A$2:$A$84,1,0),"_______OOPS______")</f>
        <v>_org_chgs_aed</v>
      </c>
      <c r="C108" t="s">
        <v>472</v>
      </c>
    </row>
    <row r="109" spans="1:3" x14ac:dyDescent="0.35">
      <c r="A109" t="s">
        <v>376</v>
      </c>
      <c r="B109" t="str">
        <f>IFERROR(VLOOKUP(A109,'PBI Param list'!$A$2:$A$84,1,0),"_______OOPS______")</f>
        <v>_dest_chrg_aed</v>
      </c>
      <c r="C109" t="s">
        <v>472</v>
      </c>
    </row>
    <row r="110" spans="1:3" x14ac:dyDescent="0.35">
      <c r="A110" t="s">
        <v>384</v>
      </c>
      <c r="B110" t="str">
        <f>IFERROR(VLOOKUP(A110,'PBI Param list'!$A$2:$A$84,1,0),"_______OOPS______")</f>
        <v>_frt_chrg_aed</v>
      </c>
      <c r="C110" t="s">
        <v>472</v>
      </c>
    </row>
    <row r="111" spans="1:3" x14ac:dyDescent="0.35">
      <c r="A111" t="s">
        <v>350</v>
      </c>
      <c r="B111" t="str">
        <f>IFERROR(VLOOKUP(A111,'PBI Param list'!$A$2:$A$84,1,0),"_______OOPS______")</f>
        <v>_aux_chrg_aed</v>
      </c>
      <c r="C111" t="s">
        <v>472</v>
      </c>
    </row>
    <row r="112" spans="1:3" x14ac:dyDescent="0.35">
      <c r="A112" t="s">
        <v>400</v>
      </c>
      <c r="B112" t="str">
        <f>IFERROR(VLOOKUP(A112,'PBI Param list'!$A$2:$A$84,1,0),"_______OOPS______")</f>
        <v>_p2p_value_aed</v>
      </c>
      <c r="C112" t="s">
        <v>472</v>
      </c>
    </row>
    <row r="113" spans="1:3" x14ac:dyDescent="0.35">
      <c r="A113" t="s">
        <v>426</v>
      </c>
      <c r="B113" t="str">
        <f>IFERROR(VLOOKUP(A113,'PBI Param list'!$A$2:$A$84,1,0),"_______OOPS______")</f>
        <v>_total_charges_aed</v>
      </c>
      <c r="C113" t="s">
        <v>472</v>
      </c>
    </row>
    <row r="114" spans="1:3" x14ac:dyDescent="0.35">
      <c r="A114" t="s">
        <v>399</v>
      </c>
      <c r="B114" t="str">
        <f>IFERROR(VLOOKUP(A114,'PBI Param list'!$A$2:$A$84,1,0),"_______OOPS______")</f>
        <v>_org_chgs_usd</v>
      </c>
      <c r="C114" t="s">
        <v>472</v>
      </c>
    </row>
    <row r="115" spans="1:3" x14ac:dyDescent="0.35">
      <c r="A115" t="s">
        <v>377</v>
      </c>
      <c r="B115" t="str">
        <f>IFERROR(VLOOKUP(A115,'PBI Param list'!$A$2:$A$84,1,0),"_______OOPS______")</f>
        <v>_dest_chrg_usd</v>
      </c>
      <c r="C115" t="s">
        <v>472</v>
      </c>
    </row>
    <row r="116" spans="1:3" x14ac:dyDescent="0.35">
      <c r="A116" t="s">
        <v>385</v>
      </c>
      <c r="B116" t="str">
        <f>IFERROR(VLOOKUP(A116,'PBI Param list'!$A$2:$A$84,1,0),"_______OOPS______")</f>
        <v>_frt_chrg_usd</v>
      </c>
      <c r="C116" t="s">
        <v>472</v>
      </c>
    </row>
    <row r="117" spans="1:3" x14ac:dyDescent="0.35">
      <c r="A117" t="s">
        <v>351</v>
      </c>
      <c r="B117" t="str">
        <f>IFERROR(VLOOKUP(A117,'PBI Param list'!$A$2:$A$84,1,0),"_______OOPS______")</f>
        <v>_aux_chrg_usd</v>
      </c>
      <c r="C117" t="s">
        <v>472</v>
      </c>
    </row>
    <row r="118" spans="1:3" x14ac:dyDescent="0.35">
      <c r="A118" t="s">
        <v>401</v>
      </c>
      <c r="B118" t="str">
        <f>IFERROR(VLOOKUP(A118,'PBI Param list'!$A$2:$A$84,1,0),"_______OOPS______")</f>
        <v>_p2p_value_usd</v>
      </c>
      <c r="C118" t="s">
        <v>472</v>
      </c>
    </row>
    <row r="119" spans="1:3" x14ac:dyDescent="0.35">
      <c r="A119" t="s">
        <v>427</v>
      </c>
      <c r="B119" t="str">
        <f>IFERROR(VLOOKUP(A119,'PBI Param list'!$A$2:$A$84,1,0),"_______OOPS______")</f>
        <v>_total_charges_usd</v>
      </c>
      <c r="C119" t="s">
        <v>472</v>
      </c>
    </row>
    <row r="120" spans="1:3" x14ac:dyDescent="0.35">
      <c r="A120" t="s">
        <v>467</v>
      </c>
      <c r="B120" t="str">
        <f>IFERROR(VLOOKUP(A120,'PBI Param list'!$A$2:$A$84,1,0),"_______OOPS______")</f>
        <v>_______OOPS______</v>
      </c>
      <c r="C120" t="s">
        <v>472</v>
      </c>
    </row>
    <row r="121" spans="1:3" hidden="1" x14ac:dyDescent="0.35">
      <c r="A121" t="s">
        <v>417</v>
      </c>
      <c r="B121" t="str">
        <f>IFERROR(VLOOKUP(A121,'PBI Param list'!$A$2:$A$84,1,0),"_______OOPS______")</f>
        <v>_row_type</v>
      </c>
      <c r="C121" t="s">
        <v>471</v>
      </c>
    </row>
  </sheetData>
  <autoFilter ref="A1:C121" xr:uid="{B22CB5A5-027B-4038-BDB0-4E8E8D639A4D}">
    <filterColumn colId="2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Tracker Field Mapping</vt:lpstr>
      <vt:lpstr>PBI Param list</vt:lpstr>
      <vt:lpstr>SQL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Alex Burov</cp:lastModifiedBy>
  <dcterms:created xsi:type="dcterms:W3CDTF">2025-05-06T08:11:42Z</dcterms:created>
  <dcterms:modified xsi:type="dcterms:W3CDTF">2026-01-13T16:51:44Z</dcterms:modified>
</cp:coreProperties>
</file>